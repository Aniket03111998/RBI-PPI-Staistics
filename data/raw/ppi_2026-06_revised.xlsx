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Aniket Manval\2026\08 August 2026\25-08-26\Upl\Revised PPI Statistics - June 2026 - for website\"/>
    </mc:Choice>
  </mc:AlternateContent>
  <xr:revisionPtr revIDLastSave="0" documentId="13_ncr:1_{7E4B20ED-47DC-41E7-B374-3827A6F6E9BB}"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Statistics'!$B$7:$S$7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5" i="1" l="1"/>
  <c r="F95" i="1"/>
  <c r="G95" i="1"/>
  <c r="H95" i="1"/>
  <c r="I95" i="1"/>
  <c r="J95" i="1"/>
  <c r="K95" i="1"/>
  <c r="L95" i="1"/>
  <c r="M95" i="1"/>
  <c r="N95" i="1"/>
  <c r="O95" i="1"/>
  <c r="P95" i="1"/>
  <c r="Q95" i="1"/>
  <c r="R95" i="1"/>
  <c r="S95" i="1"/>
  <c r="D95" i="1"/>
</calcChain>
</file>

<file path=xl/sharedStrings.xml><?xml version="1.0" encoding="utf-8"?>
<sst xmlns="http://schemas.openxmlformats.org/spreadsheetml/2006/main" count="137" uniqueCount="124">
  <si>
    <t xml:space="preserve">Sr No. </t>
  </si>
  <si>
    <t>Entity Name</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</si>
  <si>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</si>
  <si>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</si>
  <si>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</si>
  <si>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</si>
  <si>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</si>
  <si>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</si>
  <si>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</si>
  <si>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</si>
  <si>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</si>
  <si>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</si>
  <si>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</si>
  <si>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</si>
  <si>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</si>
  <si>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</si>
  <si>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</si>
  <si>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</si>
  <si>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</si>
  <si>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</si>
  <si>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</si>
  <si>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</si>
  <si>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</si>
  <si>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</si>
  <si>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</si>
  <si>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</si>
  <si>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</si>
  <si>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</si>
  <si>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</si>
  <si>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</si>
  <si>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</si>
  <si>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</si>
  <si>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</si>
  <si>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</si>
  <si>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Punjab &amp; Sind Bank</t>
  </si>
  <si>
    <t>Punjab National Bank</t>
  </si>
  <si>
    <t>South Indian Bank Limited</t>
  </si>
  <si>
    <t>State Bank of India</t>
  </si>
  <si>
    <t>Tamilnad Mercantile Bank Limited</t>
  </si>
  <si>
    <t>The Catholic Syrian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</si>
  <si>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</si>
  <si>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</si>
  <si>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</si>
  <si>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</si>
  <si>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</si>
  <si>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</si>
  <si>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</si>
  <si>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</si>
  <si>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</si>
  <si>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</si>
  <si>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</si>
  <si>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LivQuik Technology (India) Private Limited</t>
  </si>
  <si>
    <t>Manappuram Finance Limited</t>
  </si>
  <si>
    <t>Nucleus Software Exports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</si>
  <si>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</si>
  <si>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</si>
  <si>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</si>
  <si>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</si>
  <si>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</si>
  <si>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</si>
  <si>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</si>
  <si>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</si>
  <si>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 xml:space="preserve">Total </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</si>
  <si>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</si>
  <si>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</si>
  <si>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</si>
  <si>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</si>
  <si>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</si>
  <si>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</si>
  <si>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</si>
  <si>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</si>
  <si>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</si>
  <si>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</si>
  <si>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</si>
  <si>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</si>
  <si>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</si>
  <si>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</si>
  <si>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</si>
  <si>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</si>
  <si>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</si>
  <si>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</si>
  <si>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</si>
  <si>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</si>
  <si>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</si>
  <si>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</si>
  <si>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</si>
  <si>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</si>
  <si>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</si>
  <si>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</si>
  <si>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</si>
  <si>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</si>
  <si>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</si>
  <si>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</si>
  <si>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</si>
  <si>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</si>
  <si>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</si>
  <si>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</si>
  <si>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</si>
  <si>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Uniorbit Payment Solutions Private Limited (formerly Weizmann Impex Service Enterprise Limited)</t>
  </si>
  <si>
    <t>MobilePe Fintech Private Limited</t>
  </si>
  <si>
    <t>Hindon Mercantile Limited</t>
  </si>
  <si>
    <t>Amica Payment Services Private Limited</t>
  </si>
  <si>
    <t>Tata Payments Limited  (Tata Pay)</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</si>
  <si>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</si>
  <si>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</si>
  <si>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</si>
  <si>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</si>
  <si>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</si>
  <si>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</si>
  <si>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</si>
  <si>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</si>
  <si>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PhonePe Limited (formerly PhonePe Private Limited)</t>
  </si>
  <si>
    <t>Pine Labs Limited (formerly known as Pine Labs Private Limited)</t>
  </si>
  <si>
    <t>Number of Outstanding Instruments (As on month end)</t>
  </si>
  <si>
    <t>Number of Active Instruments (As on month end)</t>
  </si>
  <si>
    <t>Total number of Active PPI Cards. PPIs with at least one financial transaction the last one year are considered as Active.</t>
  </si>
  <si>
    <t>Total number of Active PPI Wallets. PPIs with at least one financial transaction the last one year are considered as Active.</t>
  </si>
  <si>
    <t>The Dhanlaxmi Bank Limited</t>
  </si>
  <si>
    <t>Wizzmoni Financial Services Limited (formerly Unimoni Financial Services Limited and UAE Exchange &amp; Financial Services Ltd.)</t>
  </si>
  <si>
    <t>NOTE: The data is provisional.</t>
  </si>
  <si>
    <t>TZF Logistics Solutions Pvt. Ltd.</t>
  </si>
  <si>
    <t>Revolut Payments India Pvt Ltd</t>
  </si>
  <si>
    <t>PPI Payment Transactions - Purchase of Goods and Services and Fund Transfer (during the month of June 2026)</t>
  </si>
  <si>
    <t>CSC Governance Service India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</si>
</sst>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28">
    <xf numFmtId="0" fontId="0" fillId="0" borderId="0" xfId="0"/>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5" fillId="2" borderId="0" xfId="0" applyFont="1" applyFill="1" applyAlignment="1">
      <alignment horizontal="left" vertical="top"/>
    </xf>
    <xf numFmtId="2" fontId="5" fillId="2" borderId="0" xfId="0" applyNumberFormat="1" applyFont="1" applyFill="1" applyAlignment="1">
      <alignment vertical="top"/>
    </xf>
    <xf numFmtId="3" fontId="5" fillId="2" borderId="0" xfId="0" applyNumberFormat="1" applyFont="1" applyFill="1" applyAlignment="1">
      <alignment vertical="top"/>
    </xf>
    <xf numFmtId="0" fontId="4" fillId="2" borderId="1" xfId="2" applyFont="1" applyFill="1" applyBorder="1" applyAlignment="1">
      <alignment horizontal="center" vertical="center" wrapText="1"/>
    </xf>
    <xf numFmtId="0" fontId="2" fillId="2" borderId="1" xfId="0" applyFont="1" applyFill="1" applyBorder="1" applyAlignment="1">
      <alignment vertical="top"/>
    </xf>
    <xf numFmtId="3" fontId="2" fillId="2" borderId="1" xfId="1" applyNumberFormat="1" applyFont="1" applyFill="1" applyBorder="1" applyAlignment="1">
      <alignment vertical="top"/>
    </xf>
    <xf numFmtId="4" fontId="2" fillId="2" borderId="1" xfId="1" applyNumberFormat="1" applyFont="1" applyFill="1" applyBorder="1" applyAlignment="1">
      <alignment vertical="top"/>
    </xf>
    <xf numFmtId="4" fontId="2" fillId="2" borderId="1" xfId="0" applyNumberFormat="1" applyFont="1" applyFill="1" applyBorder="1" applyAlignment="1">
      <alignment vertical="top"/>
    </xf>
    <xf numFmtId="0" fontId="5" fillId="2" borderId="0" xfId="0" applyFont="1" applyFill="1" applyBorder="1" applyAlignment="1">
      <alignment vertical="top"/>
    </xf>
    <xf numFmtId="1" fontId="3" fillId="2" borderId="1" xfId="3" applyNumberFormat="1" applyFill="1" applyBorder="1" applyAlignment="1">
      <alignment horizontal="left" vertical="top" wrapText="1"/>
    </xf>
    <xf numFmtId="0" fontId="3" fillId="2" borderId="1" xfId="4" applyFill="1" applyBorder="1" applyAlignment="1">
      <alignment horizontal="left" vertical="top" wrapText="1"/>
    </xf>
    <xf numFmtId="0" fontId="2" fillId="2" borderId="1" xfId="0" applyFont="1" applyFill="1" applyBorder="1" applyAlignment="1">
      <alignment horizontal="center" vertical="top"/>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3" fontId="5" fillId="0" borderId="1" xfId="0" applyNumberFormat="1" applyFont="1" applyFill="1" applyBorder="1" applyAlignment="1">
      <alignment vertical="top"/>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S130"/>
  <sheetViews>
    <sheetView tabSelected="1" zoomScaleNormal="100" zoomScaleSheetLayoutView="100" workbookViewId="0">
      <selection activeCell="A2" sqref="A2"/>
    </sheetView>
  </sheetViews>
  <sheetFormatPr defaultColWidth="11.42578125" defaultRowHeight="12.75" x14ac:dyDescent="0.25"/>
  <cols>
    <col min="1" max="1" width="1.5703125" style="19" customWidth="1"/>
    <col min="2" max="2" width="5.7109375" style="11" customWidth="1"/>
    <col min="3" max="3" width="43.85546875" style="11" customWidth="1"/>
    <col min="4" max="4" width="14" style="2" customWidth="1"/>
    <col min="5" max="5" width="15" style="2" customWidth="1"/>
    <col min="6" max="6" width="14.42578125" style="2" customWidth="1"/>
    <col min="7" max="7" width="14.5703125" style="2" customWidth="1"/>
    <col min="8" max="8" width="13.85546875" style="2" customWidth="1"/>
    <col min="9" max="9" width="14.7109375" style="2" customWidth="1"/>
    <col min="10" max="10" width="12.85546875" style="2" customWidth="1"/>
    <col min="11" max="11" width="12.28515625" style="2" customWidth="1"/>
    <col min="12" max="12" width="13.7109375" style="2" customWidth="1"/>
    <col min="13" max="13" width="14.85546875" style="2" customWidth="1"/>
    <col min="14" max="14" width="13.140625" style="2" customWidth="1"/>
    <col min="15" max="15" width="14" style="2" customWidth="1"/>
    <col min="16" max="16" width="11" style="2" customWidth="1"/>
    <col min="17" max="17" width="14.28515625" style="2" customWidth="1"/>
    <col min="18" max="18" width="10.7109375" style="2" customWidth="1"/>
    <col min="19" max="19" width="11.7109375" style="2" customWidth="1"/>
    <col min="20" max="16384" width="11.42578125" style="2"/>
  </cols>
  <sheetData>
    <row r="2" spans="2:19" x14ac:dyDescent="0.25">
      <c r="B2" s="26" t="s">
        <v>0</v>
      </c>
      <c r="C2" s="26" t="s">
        <v>1</v>
      </c>
      <c r="D2" s="23" t="s">
        <v>113</v>
      </c>
      <c r="E2" s="23"/>
      <c r="F2" s="23" t="s">
        <v>114</v>
      </c>
      <c r="G2" s="23"/>
      <c r="H2" s="24" t="s">
        <v>122</v>
      </c>
      <c r="I2" s="24"/>
      <c r="J2" s="24"/>
      <c r="K2" s="24"/>
      <c r="L2" s="24"/>
      <c r="M2" s="24"/>
      <c r="N2" s="24"/>
      <c r="O2" s="24"/>
      <c r="P2" s="23" t="s">
        <v>2</v>
      </c>
      <c r="Q2" s="23"/>
      <c r="R2" s="23"/>
      <c r="S2" s="23"/>
    </row>
    <row r="3" spans="2:19" x14ac:dyDescent="0.25">
      <c r="B3" s="26"/>
      <c r="C3" s="26"/>
      <c r="D3" s="23"/>
      <c r="E3" s="23"/>
      <c r="F3" s="23"/>
      <c r="G3" s="23"/>
      <c r="H3" s="24" t="s">
        <v>3</v>
      </c>
      <c r="I3" s="24"/>
      <c r="J3" s="24"/>
      <c r="K3" s="24"/>
      <c r="L3" s="24" t="s">
        <v>4</v>
      </c>
      <c r="M3" s="24"/>
      <c r="N3" s="24"/>
      <c r="O3" s="24"/>
      <c r="P3" s="24" t="s">
        <v>5</v>
      </c>
      <c r="Q3" s="24"/>
      <c r="R3" s="24"/>
      <c r="S3" s="24"/>
    </row>
    <row r="4" spans="2:19" x14ac:dyDescent="0.25">
      <c r="B4" s="26"/>
      <c r="C4" s="26"/>
      <c r="D4" s="23"/>
      <c r="E4" s="23"/>
      <c r="F4" s="23"/>
      <c r="G4" s="23"/>
      <c r="H4" s="23" t="s">
        <v>6</v>
      </c>
      <c r="I4" s="23"/>
      <c r="J4" s="24" t="s">
        <v>7</v>
      </c>
      <c r="K4" s="24"/>
      <c r="L4" s="23" t="s">
        <v>6</v>
      </c>
      <c r="M4" s="23"/>
      <c r="N4" s="24" t="s">
        <v>7</v>
      </c>
      <c r="O4" s="24"/>
      <c r="P4" s="24" t="s">
        <v>8</v>
      </c>
      <c r="Q4" s="24"/>
      <c r="R4" s="24" t="s">
        <v>9</v>
      </c>
      <c r="S4" s="24"/>
    </row>
    <row r="5" spans="2:19" ht="25.5" x14ac:dyDescent="0.25">
      <c r="B5" s="26"/>
      <c r="C5" s="26"/>
      <c r="D5" s="14" t="s">
        <v>10</v>
      </c>
      <c r="E5" s="14" t="s">
        <v>11</v>
      </c>
      <c r="F5" s="14" t="s">
        <v>10</v>
      </c>
      <c r="G5" s="14" t="s">
        <v>11</v>
      </c>
      <c r="H5" s="14" t="s">
        <v>12</v>
      </c>
      <c r="I5" s="14" t="s">
        <v>13</v>
      </c>
      <c r="J5" s="14" t="s">
        <v>12</v>
      </c>
      <c r="K5" s="14" t="s">
        <v>13</v>
      </c>
      <c r="L5" s="14" t="s">
        <v>12</v>
      </c>
      <c r="M5" s="14" t="s">
        <v>13</v>
      </c>
      <c r="N5" s="14" t="s">
        <v>12</v>
      </c>
      <c r="O5" s="14" t="s">
        <v>13</v>
      </c>
      <c r="P5" s="14" t="s">
        <v>12</v>
      </c>
      <c r="Q5" s="14" t="s">
        <v>13</v>
      </c>
      <c r="R5" s="14" t="s">
        <v>80</v>
      </c>
      <c r="S5" s="14" t="s">
        <v>13</v>
      </c>
    </row>
    <row r="6" spans="2:19" x14ac:dyDescent="0.25">
      <c r="B6" s="1"/>
      <c r="C6" s="1"/>
      <c r="D6" s="14">
        <v>1</v>
      </c>
      <c r="E6" s="14">
        <v>2</v>
      </c>
      <c r="F6" s="14">
        <v>3</v>
      </c>
      <c r="G6" s="14">
        <v>4</v>
      </c>
      <c r="H6" s="14">
        <v>5</v>
      </c>
      <c r="I6" s="14">
        <v>6</v>
      </c>
      <c r="J6" s="14">
        <v>7</v>
      </c>
      <c r="K6" s="14">
        <v>8</v>
      </c>
      <c r="L6" s="14">
        <v>9</v>
      </c>
      <c r="M6" s="14">
        <v>10</v>
      </c>
      <c r="N6" s="14">
        <v>11</v>
      </c>
      <c r="O6" s="14">
        <v>12</v>
      </c>
      <c r="P6" s="14">
        <v>13</v>
      </c>
      <c r="Q6" s="14">
        <v>14</v>
      </c>
      <c r="R6" s="14">
        <v>15</v>
      </c>
      <c r="S6" s="14">
        <v>16</v>
      </c>
    </row>
    <row r="7" spans="2:19" x14ac:dyDescent="0.25">
      <c r="B7" s="25" t="s">
        <v>14</v>
      </c>
      <c r="C7" s="25"/>
      <c r="D7" s="14"/>
      <c r="E7" s="14"/>
      <c r="F7" s="14"/>
      <c r="G7" s="14"/>
      <c r="H7" s="14"/>
      <c r="I7" s="14"/>
      <c r="J7" s="14"/>
      <c r="K7" s="14"/>
      <c r="L7" s="14"/>
      <c r="M7" s="14"/>
      <c r="N7" s="14"/>
      <c r="O7" s="14"/>
      <c r="P7" s="14"/>
      <c r="Q7" s="14"/>
      <c r="R7" s="14"/>
      <c r="S7" s="14"/>
    </row>
    <row r="8" spans="2:19" x14ac:dyDescent="0.25">
      <c r="B8" s="3">
        <v>1</v>
      </c>
      <c r="C8" s="6" t="s">
        <v>15</v>
      </c>
      <c r="D8" s="4">
        <v>2130119</v>
      </c>
      <c r="E8" s="4">
        <v>64054</v>
      </c>
      <c r="F8" s="4">
        <v>2128895</v>
      </c>
      <c r="G8" s="4">
        <v>34711</v>
      </c>
      <c r="H8" s="4">
        <v>20695</v>
      </c>
      <c r="I8" s="5">
        <v>610.65183999999999</v>
      </c>
      <c r="J8" s="4">
        <v>0</v>
      </c>
      <c r="K8" s="5">
        <v>0</v>
      </c>
      <c r="L8" s="4">
        <v>107485</v>
      </c>
      <c r="M8" s="5">
        <v>10236.662119999999</v>
      </c>
      <c r="N8" s="4">
        <v>0</v>
      </c>
      <c r="O8" s="5">
        <v>0</v>
      </c>
      <c r="P8" s="4">
        <v>0</v>
      </c>
      <c r="Q8" s="5">
        <v>0</v>
      </c>
      <c r="R8" s="4">
        <v>0</v>
      </c>
      <c r="S8" s="5">
        <v>0</v>
      </c>
    </row>
    <row r="9" spans="2:19" x14ac:dyDescent="0.25">
      <c r="B9" s="3">
        <v>2</v>
      </c>
      <c r="C9" s="6" t="s">
        <v>81</v>
      </c>
      <c r="D9" s="4">
        <v>897</v>
      </c>
      <c r="E9" s="4">
        <v>0</v>
      </c>
      <c r="F9" s="4">
        <v>0</v>
      </c>
      <c r="G9" s="4">
        <v>0</v>
      </c>
      <c r="H9" s="4">
        <v>0</v>
      </c>
      <c r="I9" s="5">
        <v>0</v>
      </c>
      <c r="J9" s="4">
        <v>0</v>
      </c>
      <c r="K9" s="5">
        <v>0</v>
      </c>
      <c r="L9" s="4">
        <v>0</v>
      </c>
      <c r="M9" s="5">
        <v>0</v>
      </c>
      <c r="N9" s="4">
        <v>0</v>
      </c>
      <c r="O9" s="5">
        <v>0</v>
      </c>
      <c r="P9" s="4">
        <v>0</v>
      </c>
      <c r="Q9" s="5">
        <v>0</v>
      </c>
      <c r="R9" s="4">
        <v>0</v>
      </c>
      <c r="S9" s="5">
        <v>0</v>
      </c>
    </row>
    <row r="10" spans="2:19" x14ac:dyDescent="0.25">
      <c r="B10" s="3">
        <v>3</v>
      </c>
      <c r="C10" s="6" t="s">
        <v>77</v>
      </c>
      <c r="D10" s="4">
        <v>5997748</v>
      </c>
      <c r="E10" s="4">
        <v>25940427</v>
      </c>
      <c r="F10" s="4">
        <v>5997748</v>
      </c>
      <c r="G10" s="4">
        <v>4351479</v>
      </c>
      <c r="H10" s="4">
        <v>15853914</v>
      </c>
      <c r="I10" s="5">
        <v>569374.60714138101</v>
      </c>
      <c r="J10" s="4">
        <v>0</v>
      </c>
      <c r="K10" s="5">
        <v>0</v>
      </c>
      <c r="L10" s="4">
        <v>5287168</v>
      </c>
      <c r="M10" s="5">
        <v>488877.20937000401</v>
      </c>
      <c r="N10" s="4">
        <v>0</v>
      </c>
      <c r="O10" s="5">
        <v>0</v>
      </c>
      <c r="P10" s="4">
        <v>0</v>
      </c>
      <c r="Q10" s="5">
        <v>0</v>
      </c>
      <c r="R10" s="4">
        <v>0</v>
      </c>
      <c r="S10" s="5">
        <v>0</v>
      </c>
    </row>
    <row r="11" spans="2:19" x14ac:dyDescent="0.25">
      <c r="B11" s="3">
        <v>4</v>
      </c>
      <c r="C11" s="6" t="s">
        <v>16</v>
      </c>
      <c r="D11" s="4">
        <v>8628097</v>
      </c>
      <c r="E11" s="4">
        <v>11616119</v>
      </c>
      <c r="F11" s="4">
        <v>274407</v>
      </c>
      <c r="G11" s="4">
        <v>3410581</v>
      </c>
      <c r="H11" s="4">
        <v>104809</v>
      </c>
      <c r="I11" s="5">
        <v>128293.57017999899</v>
      </c>
      <c r="J11" s="4">
        <v>0</v>
      </c>
      <c r="K11" s="5">
        <v>0</v>
      </c>
      <c r="L11" s="4">
        <v>18897360</v>
      </c>
      <c r="M11" s="5">
        <v>5005950.26033</v>
      </c>
      <c r="N11" s="4">
        <v>46</v>
      </c>
      <c r="O11" s="5">
        <v>119.67400000000001</v>
      </c>
      <c r="P11" s="4">
        <v>15604</v>
      </c>
      <c r="Q11" s="5">
        <v>134063.70000000001</v>
      </c>
      <c r="R11" s="4">
        <v>0</v>
      </c>
      <c r="S11" s="5">
        <v>0</v>
      </c>
    </row>
    <row r="12" spans="2:19" x14ac:dyDescent="0.25">
      <c r="B12" s="3">
        <v>5</v>
      </c>
      <c r="C12" s="6" t="s">
        <v>78</v>
      </c>
      <c r="D12" s="4">
        <v>465161</v>
      </c>
      <c r="E12" s="4">
        <v>1170737</v>
      </c>
      <c r="F12" s="4">
        <v>67808</v>
      </c>
      <c r="G12" s="4">
        <v>1025972</v>
      </c>
      <c r="H12" s="4">
        <v>5082</v>
      </c>
      <c r="I12" s="5">
        <v>12396.034</v>
      </c>
      <c r="J12" s="4">
        <v>0</v>
      </c>
      <c r="K12" s="5">
        <v>0</v>
      </c>
      <c r="L12" s="4">
        <v>4217451</v>
      </c>
      <c r="M12" s="5">
        <v>375762.05</v>
      </c>
      <c r="N12" s="4">
        <v>0</v>
      </c>
      <c r="O12" s="5">
        <v>0</v>
      </c>
      <c r="P12" s="4">
        <v>990</v>
      </c>
      <c r="Q12" s="5">
        <v>7000</v>
      </c>
      <c r="R12" s="4">
        <v>0</v>
      </c>
      <c r="S12" s="5">
        <v>0</v>
      </c>
    </row>
    <row r="13" spans="2:19" x14ac:dyDescent="0.25">
      <c r="B13" s="3">
        <v>6</v>
      </c>
      <c r="C13" s="6" t="s">
        <v>17</v>
      </c>
      <c r="D13" s="4">
        <v>34607</v>
      </c>
      <c r="E13" s="4">
        <v>0</v>
      </c>
      <c r="F13" s="4">
        <v>4434</v>
      </c>
      <c r="G13" s="4">
        <v>0</v>
      </c>
      <c r="H13" s="4">
        <v>1514</v>
      </c>
      <c r="I13" s="5">
        <v>4029.7216699999999</v>
      </c>
      <c r="J13" s="4">
        <v>0</v>
      </c>
      <c r="K13" s="5">
        <v>0</v>
      </c>
      <c r="L13" s="4">
        <v>0</v>
      </c>
      <c r="M13" s="5">
        <v>0</v>
      </c>
      <c r="N13" s="4">
        <v>0</v>
      </c>
      <c r="O13" s="5">
        <v>0</v>
      </c>
      <c r="P13" s="4">
        <v>578</v>
      </c>
      <c r="Q13" s="5">
        <v>4860.1985999999997</v>
      </c>
      <c r="R13" s="4">
        <v>0</v>
      </c>
      <c r="S13" s="5">
        <v>0</v>
      </c>
    </row>
    <row r="14" spans="2:19" x14ac:dyDescent="0.25">
      <c r="B14" s="3">
        <v>7</v>
      </c>
      <c r="C14" s="6" t="s">
        <v>79</v>
      </c>
      <c r="D14" s="4">
        <v>0</v>
      </c>
      <c r="E14" s="4">
        <v>19872</v>
      </c>
      <c r="F14" s="4">
        <v>0</v>
      </c>
      <c r="G14" s="4">
        <v>12370</v>
      </c>
      <c r="H14" s="4">
        <v>0</v>
      </c>
      <c r="I14" s="5">
        <v>0</v>
      </c>
      <c r="J14" s="4">
        <v>0</v>
      </c>
      <c r="K14" s="5">
        <v>0</v>
      </c>
      <c r="L14" s="4">
        <v>31497</v>
      </c>
      <c r="M14" s="5">
        <v>3760.7157999999999</v>
      </c>
      <c r="N14" s="4">
        <v>45</v>
      </c>
      <c r="O14" s="5">
        <v>47.270600000000002</v>
      </c>
      <c r="P14" s="4">
        <v>0</v>
      </c>
      <c r="Q14" s="5">
        <v>0</v>
      </c>
      <c r="R14" s="4">
        <v>0</v>
      </c>
      <c r="S14" s="5">
        <v>0</v>
      </c>
    </row>
    <row r="15" spans="2:19" x14ac:dyDescent="0.25">
      <c r="B15" s="3">
        <v>8</v>
      </c>
      <c r="C15" s="6" t="s">
        <v>18</v>
      </c>
      <c r="D15" s="4">
        <v>26190</v>
      </c>
      <c r="E15" s="4">
        <v>62641</v>
      </c>
      <c r="F15" s="4">
        <v>6022</v>
      </c>
      <c r="G15" s="4">
        <v>42296</v>
      </c>
      <c r="H15" s="4">
        <v>1321</v>
      </c>
      <c r="I15" s="5">
        <v>3489.5603500000002</v>
      </c>
      <c r="J15" s="4">
        <v>22</v>
      </c>
      <c r="K15" s="5">
        <v>364.59280000000001</v>
      </c>
      <c r="L15" s="4">
        <v>155417</v>
      </c>
      <c r="M15" s="5">
        <v>9554.8264999999992</v>
      </c>
      <c r="N15" s="4">
        <v>0</v>
      </c>
      <c r="O15" s="5">
        <v>0</v>
      </c>
      <c r="P15" s="4">
        <v>976</v>
      </c>
      <c r="Q15" s="5">
        <v>7316</v>
      </c>
      <c r="R15" s="4">
        <v>0</v>
      </c>
      <c r="S15" s="5">
        <v>0</v>
      </c>
    </row>
    <row r="16" spans="2:19" x14ac:dyDescent="0.25">
      <c r="B16" s="3">
        <v>9</v>
      </c>
      <c r="C16" s="6" t="s">
        <v>19</v>
      </c>
      <c r="D16" s="4">
        <v>38095</v>
      </c>
      <c r="E16" s="4">
        <v>301898</v>
      </c>
      <c r="F16" s="4">
        <v>8692</v>
      </c>
      <c r="G16" s="4">
        <v>66047</v>
      </c>
      <c r="H16" s="4">
        <v>1079</v>
      </c>
      <c r="I16" s="5">
        <v>1462.5959499999999</v>
      </c>
      <c r="J16" s="4">
        <v>0</v>
      </c>
      <c r="K16" s="5">
        <v>0</v>
      </c>
      <c r="L16" s="4">
        <v>130693</v>
      </c>
      <c r="M16" s="5">
        <v>16205.11549</v>
      </c>
      <c r="N16" s="4">
        <v>36</v>
      </c>
      <c r="O16" s="5">
        <v>32.192999999999998</v>
      </c>
      <c r="P16" s="4">
        <v>147</v>
      </c>
      <c r="Q16" s="5">
        <v>639.70000000000005</v>
      </c>
      <c r="R16" s="4">
        <v>0</v>
      </c>
      <c r="S16" s="5">
        <v>0</v>
      </c>
    </row>
    <row r="17" spans="2:19" x14ac:dyDescent="0.25">
      <c r="B17" s="3">
        <v>10</v>
      </c>
      <c r="C17" s="6" t="s">
        <v>82</v>
      </c>
      <c r="D17" s="4">
        <v>0</v>
      </c>
      <c r="E17" s="4">
        <v>2337</v>
      </c>
      <c r="F17" s="4">
        <v>0</v>
      </c>
      <c r="G17" s="4">
        <v>0</v>
      </c>
      <c r="H17" s="4">
        <v>0</v>
      </c>
      <c r="I17" s="5">
        <v>0</v>
      </c>
      <c r="J17" s="4">
        <v>0</v>
      </c>
      <c r="K17" s="5">
        <v>0</v>
      </c>
      <c r="L17" s="4">
        <v>0</v>
      </c>
      <c r="M17" s="5">
        <v>0</v>
      </c>
      <c r="N17" s="4">
        <v>0</v>
      </c>
      <c r="O17" s="5">
        <v>0</v>
      </c>
      <c r="P17" s="4">
        <v>0</v>
      </c>
      <c r="Q17" s="5">
        <v>0</v>
      </c>
      <c r="R17" s="4">
        <v>0</v>
      </c>
      <c r="S17" s="5">
        <v>0</v>
      </c>
    </row>
    <row r="18" spans="2:19" x14ac:dyDescent="0.25">
      <c r="B18" s="3">
        <v>11</v>
      </c>
      <c r="C18" s="6" t="s">
        <v>20</v>
      </c>
      <c r="D18" s="4">
        <v>1135</v>
      </c>
      <c r="E18" s="4">
        <v>880113</v>
      </c>
      <c r="F18" s="4">
        <v>1135</v>
      </c>
      <c r="G18" s="4">
        <v>173260</v>
      </c>
      <c r="H18" s="4">
        <v>258</v>
      </c>
      <c r="I18" s="5">
        <v>32.080629999999999</v>
      </c>
      <c r="J18" s="4">
        <v>6</v>
      </c>
      <c r="K18" s="5">
        <v>11.529129999999999</v>
      </c>
      <c r="L18" s="4">
        <v>1190185</v>
      </c>
      <c r="M18" s="5">
        <v>91828.961362499991</v>
      </c>
      <c r="N18" s="4">
        <v>0</v>
      </c>
      <c r="O18" s="5">
        <v>0</v>
      </c>
      <c r="P18" s="4">
        <v>1348</v>
      </c>
      <c r="Q18" s="5">
        <v>9795.5</v>
      </c>
      <c r="R18" s="4">
        <v>0</v>
      </c>
      <c r="S18" s="5">
        <v>0</v>
      </c>
    </row>
    <row r="19" spans="2:19" x14ac:dyDescent="0.25">
      <c r="B19" s="3">
        <v>12</v>
      </c>
      <c r="C19" s="6" t="s">
        <v>21</v>
      </c>
      <c r="D19" s="4">
        <v>98537</v>
      </c>
      <c r="E19" s="4">
        <v>514358</v>
      </c>
      <c r="F19" s="4">
        <v>98398</v>
      </c>
      <c r="G19" s="4">
        <v>54251</v>
      </c>
      <c r="H19" s="4">
        <v>270</v>
      </c>
      <c r="I19" s="5">
        <v>1041.6288100000002</v>
      </c>
      <c r="J19" s="4">
        <v>0</v>
      </c>
      <c r="K19" s="5">
        <v>0</v>
      </c>
      <c r="L19" s="4">
        <v>864</v>
      </c>
      <c r="M19" s="5">
        <v>469.25034000000005</v>
      </c>
      <c r="N19" s="4">
        <v>168</v>
      </c>
      <c r="O19" s="5">
        <v>819.995</v>
      </c>
      <c r="P19" s="4">
        <v>0</v>
      </c>
      <c r="Q19" s="5">
        <v>0</v>
      </c>
      <c r="R19" s="4">
        <v>0</v>
      </c>
      <c r="S19" s="5">
        <v>0</v>
      </c>
    </row>
    <row r="20" spans="2:19" x14ac:dyDescent="0.25">
      <c r="B20" s="3">
        <v>13</v>
      </c>
      <c r="C20" s="6" t="s">
        <v>22</v>
      </c>
      <c r="D20" s="4">
        <v>17239418</v>
      </c>
      <c r="E20" s="4">
        <v>36683741</v>
      </c>
      <c r="F20" s="4">
        <v>5770870</v>
      </c>
      <c r="G20" s="4">
        <v>4055678</v>
      </c>
      <c r="H20" s="4">
        <v>1884367</v>
      </c>
      <c r="I20" s="5">
        <v>1450907.4488900001</v>
      </c>
      <c r="J20" s="4">
        <v>0</v>
      </c>
      <c r="K20" s="5">
        <v>0</v>
      </c>
      <c r="L20" s="4">
        <v>31071225</v>
      </c>
      <c r="M20" s="5">
        <v>9786948.7184100002</v>
      </c>
      <c r="N20" s="4">
        <v>310282</v>
      </c>
      <c r="O20" s="5">
        <v>2175762.97829</v>
      </c>
      <c r="P20" s="4">
        <v>1310382</v>
      </c>
      <c r="Q20" s="5">
        <v>5741689.9316999996</v>
      </c>
      <c r="R20" s="4">
        <v>0</v>
      </c>
      <c r="S20" s="5">
        <v>0</v>
      </c>
    </row>
    <row r="21" spans="2:19" x14ac:dyDescent="0.25">
      <c r="B21" s="3">
        <v>14</v>
      </c>
      <c r="C21" s="6" t="s">
        <v>23</v>
      </c>
      <c r="D21" s="4">
        <v>17051460</v>
      </c>
      <c r="E21" s="4">
        <v>19765278</v>
      </c>
      <c r="F21" s="4">
        <v>1878131</v>
      </c>
      <c r="G21" s="4">
        <v>10214397</v>
      </c>
      <c r="H21" s="4">
        <v>1083852</v>
      </c>
      <c r="I21" s="5">
        <v>1440822.64368</v>
      </c>
      <c r="J21" s="4">
        <v>31387</v>
      </c>
      <c r="K21" s="5">
        <v>55737.862000000001</v>
      </c>
      <c r="L21" s="4">
        <v>66345710</v>
      </c>
      <c r="M21" s="5">
        <v>14951334.103020001</v>
      </c>
      <c r="N21" s="4">
        <v>37439</v>
      </c>
      <c r="O21" s="5">
        <v>30642.635839999999</v>
      </c>
      <c r="P21" s="4">
        <v>211555</v>
      </c>
      <c r="Q21" s="5">
        <v>2005963.4</v>
      </c>
      <c r="R21" s="4">
        <v>0</v>
      </c>
      <c r="S21" s="5">
        <v>0</v>
      </c>
    </row>
    <row r="22" spans="2:19" x14ac:dyDescent="0.25">
      <c r="B22" s="3">
        <v>15</v>
      </c>
      <c r="C22" s="6" t="s">
        <v>24</v>
      </c>
      <c r="D22" s="4">
        <v>560802</v>
      </c>
      <c r="E22" s="4">
        <v>0</v>
      </c>
      <c r="F22" s="4">
        <v>125363</v>
      </c>
      <c r="G22" s="4">
        <v>0</v>
      </c>
      <c r="H22" s="4">
        <v>17187</v>
      </c>
      <c r="I22" s="5">
        <v>31488.665270000005</v>
      </c>
      <c r="J22" s="4">
        <v>16</v>
      </c>
      <c r="K22" s="5">
        <v>565.92147999999997</v>
      </c>
      <c r="L22" s="4">
        <v>0</v>
      </c>
      <c r="M22" s="5">
        <v>0</v>
      </c>
      <c r="N22" s="4">
        <v>0</v>
      </c>
      <c r="O22" s="5">
        <v>0</v>
      </c>
      <c r="P22" s="4">
        <v>7271</v>
      </c>
      <c r="Q22" s="5">
        <v>60391.85</v>
      </c>
      <c r="R22" s="4">
        <v>0</v>
      </c>
      <c r="S22" s="5">
        <v>0</v>
      </c>
    </row>
    <row r="23" spans="2:19" x14ac:dyDescent="0.25">
      <c r="B23" s="3">
        <v>16</v>
      </c>
      <c r="C23" s="6" t="s">
        <v>25</v>
      </c>
      <c r="D23" s="4">
        <v>0</v>
      </c>
      <c r="E23" s="4">
        <v>18406996</v>
      </c>
      <c r="F23" s="4">
        <v>0</v>
      </c>
      <c r="G23" s="4">
        <v>13038416</v>
      </c>
      <c r="H23" s="4">
        <v>0</v>
      </c>
      <c r="I23" s="5">
        <v>0</v>
      </c>
      <c r="J23" s="4">
        <v>0</v>
      </c>
      <c r="K23" s="5">
        <v>0</v>
      </c>
      <c r="L23" s="4">
        <v>166487766</v>
      </c>
      <c r="M23" s="5">
        <v>31458296.976130001</v>
      </c>
      <c r="N23" s="4">
        <v>0</v>
      </c>
      <c r="O23" s="5">
        <v>0</v>
      </c>
      <c r="P23" s="4">
        <v>0</v>
      </c>
      <c r="Q23" s="5">
        <v>0</v>
      </c>
      <c r="R23" s="4">
        <v>0</v>
      </c>
      <c r="S23" s="5">
        <v>0</v>
      </c>
    </row>
    <row r="24" spans="2:19" x14ac:dyDescent="0.25">
      <c r="B24" s="3">
        <v>17</v>
      </c>
      <c r="C24" s="6" t="s">
        <v>26</v>
      </c>
      <c r="D24" s="4">
        <v>37867</v>
      </c>
      <c r="E24" s="4">
        <v>464099</v>
      </c>
      <c r="F24" s="4">
        <v>8104</v>
      </c>
      <c r="G24" s="4">
        <v>447254</v>
      </c>
      <c r="H24" s="4">
        <v>1716</v>
      </c>
      <c r="I24" s="5">
        <v>3279.9690399999999</v>
      </c>
      <c r="J24" s="4">
        <v>241</v>
      </c>
      <c r="K24" s="5">
        <v>859.79918000000009</v>
      </c>
      <c r="L24" s="4">
        <v>588346</v>
      </c>
      <c r="M24" s="5">
        <v>881067.59296000004</v>
      </c>
      <c r="N24" s="4">
        <v>0</v>
      </c>
      <c r="O24" s="5">
        <v>0</v>
      </c>
      <c r="P24" s="4">
        <v>711</v>
      </c>
      <c r="Q24" s="5">
        <v>6104.3</v>
      </c>
      <c r="R24" s="4">
        <v>0</v>
      </c>
      <c r="S24" s="5">
        <v>0</v>
      </c>
    </row>
    <row r="25" spans="2:19" x14ac:dyDescent="0.25">
      <c r="B25" s="3">
        <v>18</v>
      </c>
      <c r="C25" s="6" t="s">
        <v>27</v>
      </c>
      <c r="D25" s="4">
        <v>27412</v>
      </c>
      <c r="E25" s="4">
        <v>0</v>
      </c>
      <c r="F25" s="4">
        <v>21425</v>
      </c>
      <c r="G25" s="4">
        <v>0</v>
      </c>
      <c r="H25" s="4">
        <v>85032</v>
      </c>
      <c r="I25" s="5">
        <v>3509.9291699999999</v>
      </c>
      <c r="J25" s="4">
        <v>0</v>
      </c>
      <c r="K25" s="5">
        <v>0</v>
      </c>
      <c r="L25" s="4">
        <v>0</v>
      </c>
      <c r="M25" s="5">
        <v>0</v>
      </c>
      <c r="N25" s="4">
        <v>0</v>
      </c>
      <c r="O25" s="5">
        <v>0</v>
      </c>
      <c r="P25" s="4">
        <v>413</v>
      </c>
      <c r="Q25" s="5">
        <v>3168.2</v>
      </c>
      <c r="R25" s="4">
        <v>0</v>
      </c>
      <c r="S25" s="5">
        <v>0</v>
      </c>
    </row>
    <row r="26" spans="2:19" x14ac:dyDescent="0.25">
      <c r="B26" s="3">
        <v>19</v>
      </c>
      <c r="C26" s="6" t="s">
        <v>28</v>
      </c>
      <c r="D26" s="4">
        <v>6667940</v>
      </c>
      <c r="E26" s="4">
        <v>3984766</v>
      </c>
      <c r="F26" s="4">
        <v>442853</v>
      </c>
      <c r="G26" s="4">
        <v>1805990</v>
      </c>
      <c r="H26" s="4">
        <v>486329</v>
      </c>
      <c r="I26" s="5">
        <v>570028.51599999995</v>
      </c>
      <c r="J26" s="4">
        <v>0</v>
      </c>
      <c r="K26" s="5">
        <v>0</v>
      </c>
      <c r="L26" s="4">
        <v>8559757</v>
      </c>
      <c r="M26" s="5">
        <v>931851.31799999997</v>
      </c>
      <c r="N26" s="4">
        <v>0</v>
      </c>
      <c r="O26" s="5">
        <v>0</v>
      </c>
      <c r="P26" s="4">
        <v>12214</v>
      </c>
      <c r="Q26" s="5">
        <v>47275.131000000001</v>
      </c>
      <c r="R26" s="4">
        <v>0</v>
      </c>
      <c r="S26" s="5">
        <v>0</v>
      </c>
    </row>
    <row r="27" spans="2:19" x14ac:dyDescent="0.25">
      <c r="B27" s="3">
        <v>20</v>
      </c>
      <c r="C27" s="6" t="s">
        <v>29</v>
      </c>
      <c r="D27" s="4">
        <v>0</v>
      </c>
      <c r="E27" s="4">
        <v>2678789</v>
      </c>
      <c r="F27" s="4">
        <v>0</v>
      </c>
      <c r="G27" s="4">
        <v>333399</v>
      </c>
      <c r="H27" s="4">
        <v>0</v>
      </c>
      <c r="I27" s="5">
        <v>0</v>
      </c>
      <c r="J27" s="4">
        <v>0</v>
      </c>
      <c r="K27" s="5">
        <v>0</v>
      </c>
      <c r="L27" s="4">
        <v>2570</v>
      </c>
      <c r="M27" s="5">
        <v>1521.7619399999999</v>
      </c>
      <c r="N27" s="4">
        <v>0</v>
      </c>
      <c r="O27" s="5">
        <v>0</v>
      </c>
      <c r="P27" s="4">
        <v>0</v>
      </c>
      <c r="Q27" s="5">
        <v>0</v>
      </c>
      <c r="R27" s="4">
        <v>0</v>
      </c>
      <c r="S27" s="5">
        <v>0</v>
      </c>
    </row>
    <row r="28" spans="2:19" x14ac:dyDescent="0.25">
      <c r="B28" s="3">
        <v>21</v>
      </c>
      <c r="C28" s="6" t="s">
        <v>30</v>
      </c>
      <c r="D28" s="4">
        <v>0</v>
      </c>
      <c r="E28" s="4">
        <v>0</v>
      </c>
      <c r="F28" s="4">
        <v>0</v>
      </c>
      <c r="G28" s="4">
        <v>0</v>
      </c>
      <c r="H28" s="4">
        <v>0</v>
      </c>
      <c r="I28" s="5">
        <v>0</v>
      </c>
      <c r="J28" s="4">
        <v>0</v>
      </c>
      <c r="K28" s="5">
        <v>0</v>
      </c>
      <c r="L28" s="4">
        <v>0</v>
      </c>
      <c r="M28" s="5">
        <v>0</v>
      </c>
      <c r="N28" s="4">
        <v>0</v>
      </c>
      <c r="O28" s="5">
        <v>0</v>
      </c>
      <c r="P28" s="4">
        <v>0</v>
      </c>
      <c r="Q28" s="5">
        <v>0</v>
      </c>
      <c r="R28" s="4">
        <v>0</v>
      </c>
      <c r="S28" s="5">
        <v>0</v>
      </c>
    </row>
    <row r="29" spans="2:19" x14ac:dyDescent="0.25">
      <c r="B29" s="3">
        <v>22</v>
      </c>
      <c r="C29" s="6" t="s">
        <v>31</v>
      </c>
      <c r="D29" s="4">
        <v>185222</v>
      </c>
      <c r="E29" s="4">
        <v>496447</v>
      </c>
      <c r="F29" s="4">
        <v>3095</v>
      </c>
      <c r="G29" s="4">
        <v>495129</v>
      </c>
      <c r="H29" s="4">
        <v>45</v>
      </c>
      <c r="I29" s="5">
        <v>82.252630000000011</v>
      </c>
      <c r="J29" s="4">
        <v>0</v>
      </c>
      <c r="K29" s="5">
        <v>0</v>
      </c>
      <c r="L29" s="4">
        <v>1520441</v>
      </c>
      <c r="M29" s="5">
        <v>249189.24777000002</v>
      </c>
      <c r="N29" s="4">
        <v>0</v>
      </c>
      <c r="O29" s="5">
        <v>0</v>
      </c>
      <c r="P29" s="4">
        <v>0</v>
      </c>
      <c r="Q29" s="5">
        <v>0</v>
      </c>
      <c r="R29" s="4">
        <v>0</v>
      </c>
      <c r="S29" s="5">
        <v>0</v>
      </c>
    </row>
    <row r="30" spans="2:19" x14ac:dyDescent="0.25">
      <c r="B30" s="3">
        <v>23</v>
      </c>
      <c r="C30" s="6" t="s">
        <v>32</v>
      </c>
      <c r="D30" s="4">
        <v>3504</v>
      </c>
      <c r="E30" s="4">
        <v>5341722</v>
      </c>
      <c r="F30" s="4">
        <v>186</v>
      </c>
      <c r="G30" s="4">
        <v>1625241</v>
      </c>
      <c r="H30" s="4">
        <v>18</v>
      </c>
      <c r="I30" s="5">
        <v>11.242000000000001</v>
      </c>
      <c r="J30" s="4">
        <v>0</v>
      </c>
      <c r="K30" s="5">
        <v>0</v>
      </c>
      <c r="L30" s="4">
        <v>10136317</v>
      </c>
      <c r="M30" s="5">
        <v>2244828.1508400002</v>
      </c>
      <c r="N30" s="4">
        <v>48</v>
      </c>
      <c r="O30" s="5">
        <v>127.419</v>
      </c>
      <c r="P30" s="4">
        <v>0</v>
      </c>
      <c r="Q30" s="5">
        <v>0</v>
      </c>
      <c r="R30" s="4">
        <v>0</v>
      </c>
      <c r="S30" s="5">
        <v>0</v>
      </c>
    </row>
    <row r="31" spans="2:19" x14ac:dyDescent="0.25">
      <c r="B31" s="3">
        <v>24</v>
      </c>
      <c r="C31" s="6" t="s">
        <v>33</v>
      </c>
      <c r="D31" s="4">
        <v>28264098</v>
      </c>
      <c r="E31" s="4">
        <v>0</v>
      </c>
      <c r="F31" s="4">
        <v>24895862</v>
      </c>
      <c r="G31" s="4">
        <v>0</v>
      </c>
      <c r="H31" s="4">
        <v>2361750</v>
      </c>
      <c r="I31" s="5">
        <v>14108425.954629999</v>
      </c>
      <c r="J31" s="4">
        <v>545</v>
      </c>
      <c r="K31" s="5">
        <v>7293.83</v>
      </c>
      <c r="L31" s="4">
        <v>0</v>
      </c>
      <c r="M31" s="5">
        <v>0</v>
      </c>
      <c r="N31" s="4">
        <v>0</v>
      </c>
      <c r="O31" s="5">
        <v>0</v>
      </c>
      <c r="P31" s="4">
        <v>30</v>
      </c>
      <c r="Q31" s="5">
        <v>210.1</v>
      </c>
      <c r="R31" s="4">
        <v>0</v>
      </c>
      <c r="S31" s="5">
        <v>0</v>
      </c>
    </row>
    <row r="32" spans="2:19" x14ac:dyDescent="0.25">
      <c r="B32" s="3">
        <v>25</v>
      </c>
      <c r="C32" s="6" t="s">
        <v>34</v>
      </c>
      <c r="D32" s="4">
        <v>51061</v>
      </c>
      <c r="E32" s="4">
        <v>0</v>
      </c>
      <c r="F32" s="4">
        <v>4</v>
      </c>
      <c r="G32" s="4">
        <v>0</v>
      </c>
      <c r="H32" s="4">
        <v>6</v>
      </c>
      <c r="I32" s="5">
        <v>5.3390000000000004</v>
      </c>
      <c r="J32" s="4">
        <v>0</v>
      </c>
      <c r="K32" s="5">
        <v>0</v>
      </c>
      <c r="L32" s="4">
        <v>0</v>
      </c>
      <c r="M32" s="5">
        <v>0</v>
      </c>
      <c r="N32" s="4">
        <v>0</v>
      </c>
      <c r="O32" s="5">
        <v>0</v>
      </c>
      <c r="P32" s="4">
        <v>0</v>
      </c>
      <c r="Q32" s="5">
        <v>0</v>
      </c>
      <c r="R32" s="4">
        <v>0</v>
      </c>
      <c r="S32" s="5">
        <v>0</v>
      </c>
    </row>
    <row r="33" spans="2:19" x14ac:dyDescent="0.25">
      <c r="B33" s="3">
        <v>26</v>
      </c>
      <c r="C33" s="6" t="s">
        <v>35</v>
      </c>
      <c r="D33" s="4">
        <v>464312</v>
      </c>
      <c r="E33" s="4">
        <v>77274</v>
      </c>
      <c r="F33" s="4">
        <v>7244</v>
      </c>
      <c r="G33" s="4">
        <v>20565</v>
      </c>
      <c r="H33" s="4">
        <v>1198</v>
      </c>
      <c r="I33" s="5">
        <v>3029.9138800000001</v>
      </c>
      <c r="J33" s="4">
        <v>107</v>
      </c>
      <c r="K33" s="5">
        <v>287.34613999999999</v>
      </c>
      <c r="L33" s="4">
        <v>80186</v>
      </c>
      <c r="M33" s="5">
        <v>3792.4069</v>
      </c>
      <c r="N33" s="4">
        <v>0</v>
      </c>
      <c r="O33" s="5">
        <v>0</v>
      </c>
      <c r="P33" s="4">
        <v>658</v>
      </c>
      <c r="Q33" s="5">
        <v>5536.6</v>
      </c>
      <c r="R33" s="4">
        <v>0</v>
      </c>
      <c r="S33" s="5">
        <v>0</v>
      </c>
    </row>
    <row r="34" spans="2:19" x14ac:dyDescent="0.25">
      <c r="B34" s="3">
        <v>27</v>
      </c>
      <c r="C34" s="6" t="s">
        <v>84</v>
      </c>
      <c r="D34" s="4">
        <v>469653</v>
      </c>
      <c r="E34" s="4">
        <v>0</v>
      </c>
      <c r="F34" s="4">
        <v>430376</v>
      </c>
      <c r="G34" s="4">
        <v>0</v>
      </c>
      <c r="H34" s="4">
        <v>2986056</v>
      </c>
      <c r="I34" s="5">
        <v>139605.64635999899</v>
      </c>
      <c r="J34" s="4">
        <v>0</v>
      </c>
      <c r="K34" s="5">
        <v>0</v>
      </c>
      <c r="L34" s="4">
        <v>0</v>
      </c>
      <c r="M34" s="5">
        <v>0</v>
      </c>
      <c r="N34" s="4">
        <v>0</v>
      </c>
      <c r="O34" s="5">
        <v>0</v>
      </c>
      <c r="P34" s="4">
        <v>14</v>
      </c>
      <c r="Q34" s="5">
        <v>76.2</v>
      </c>
      <c r="R34" s="4">
        <v>0</v>
      </c>
      <c r="S34" s="5">
        <v>0</v>
      </c>
    </row>
    <row r="35" spans="2:19" ht="25.5" x14ac:dyDescent="0.25">
      <c r="B35" s="3">
        <v>28</v>
      </c>
      <c r="C35" s="6" t="s">
        <v>103</v>
      </c>
      <c r="D35" s="4">
        <v>0</v>
      </c>
      <c r="E35" s="4">
        <v>0</v>
      </c>
      <c r="F35" s="4">
        <v>0</v>
      </c>
      <c r="G35" s="4">
        <v>0</v>
      </c>
      <c r="H35" s="4">
        <v>0</v>
      </c>
      <c r="I35" s="5">
        <v>0</v>
      </c>
      <c r="J35" s="4">
        <v>0</v>
      </c>
      <c r="K35" s="5">
        <v>0</v>
      </c>
      <c r="L35" s="4">
        <v>0</v>
      </c>
      <c r="M35" s="5">
        <v>0</v>
      </c>
      <c r="N35" s="4">
        <v>5768</v>
      </c>
      <c r="O35" s="5">
        <v>277.29907000000003</v>
      </c>
      <c r="P35" s="4">
        <v>0</v>
      </c>
      <c r="Q35" s="5">
        <v>0</v>
      </c>
      <c r="R35" s="4">
        <v>0</v>
      </c>
      <c r="S35" s="5">
        <v>0</v>
      </c>
    </row>
    <row r="36" spans="2:19" x14ac:dyDescent="0.25">
      <c r="B36" s="3">
        <v>29</v>
      </c>
      <c r="C36" s="6" t="s">
        <v>36</v>
      </c>
      <c r="D36" s="4">
        <v>25853</v>
      </c>
      <c r="E36" s="4">
        <v>123818</v>
      </c>
      <c r="F36" s="4">
        <v>1961</v>
      </c>
      <c r="G36" s="4">
        <v>99686</v>
      </c>
      <c r="H36" s="4">
        <v>7120</v>
      </c>
      <c r="I36" s="5">
        <v>9375.7139999999999</v>
      </c>
      <c r="J36" s="4">
        <v>0</v>
      </c>
      <c r="K36" s="5">
        <v>0</v>
      </c>
      <c r="L36" s="4">
        <v>0</v>
      </c>
      <c r="M36" s="5">
        <v>0</v>
      </c>
      <c r="N36" s="4">
        <v>112</v>
      </c>
      <c r="O36" s="5">
        <v>111.51303</v>
      </c>
      <c r="P36" s="4">
        <v>4188</v>
      </c>
      <c r="Q36" s="5">
        <v>6022.14</v>
      </c>
      <c r="R36" s="4">
        <v>0</v>
      </c>
      <c r="S36" s="5">
        <v>0</v>
      </c>
    </row>
    <row r="37" spans="2:19" x14ac:dyDescent="0.25">
      <c r="B37" s="3">
        <v>30</v>
      </c>
      <c r="C37" s="6" t="s">
        <v>37</v>
      </c>
      <c r="D37" s="4">
        <v>5945789</v>
      </c>
      <c r="E37" s="4">
        <v>9426502</v>
      </c>
      <c r="F37" s="4">
        <v>2799715</v>
      </c>
      <c r="G37" s="4">
        <v>6105543</v>
      </c>
      <c r="H37" s="4">
        <v>14256410</v>
      </c>
      <c r="I37" s="5">
        <v>474111.43430000002</v>
      </c>
      <c r="J37" s="4">
        <v>221</v>
      </c>
      <c r="K37" s="5">
        <v>2469.5236199999999</v>
      </c>
      <c r="L37" s="4">
        <v>31725058</v>
      </c>
      <c r="M37" s="5">
        <v>3800520.9920000001</v>
      </c>
      <c r="N37" s="4">
        <v>36490</v>
      </c>
      <c r="O37" s="5">
        <v>5526.8663299999998</v>
      </c>
      <c r="P37" s="4">
        <v>86367</v>
      </c>
      <c r="Q37" s="5">
        <v>584174.18479999993</v>
      </c>
      <c r="R37" s="4">
        <v>0</v>
      </c>
      <c r="S37" s="5">
        <v>0</v>
      </c>
    </row>
    <row r="38" spans="2:19" x14ac:dyDescent="0.25">
      <c r="B38" s="3">
        <v>31</v>
      </c>
      <c r="C38" s="6" t="s">
        <v>38</v>
      </c>
      <c r="D38" s="4">
        <v>7068</v>
      </c>
      <c r="E38" s="4">
        <v>847</v>
      </c>
      <c r="F38" s="4">
        <v>663</v>
      </c>
      <c r="G38" s="4">
        <v>0</v>
      </c>
      <c r="H38" s="4">
        <v>39</v>
      </c>
      <c r="I38" s="5">
        <v>249.22485999999998</v>
      </c>
      <c r="J38" s="4">
        <v>0</v>
      </c>
      <c r="K38" s="5">
        <v>0</v>
      </c>
      <c r="L38" s="4">
        <v>0</v>
      </c>
      <c r="M38" s="5">
        <v>0</v>
      </c>
      <c r="N38" s="4">
        <v>0</v>
      </c>
      <c r="O38" s="5">
        <v>0</v>
      </c>
      <c r="P38" s="4">
        <v>409</v>
      </c>
      <c r="Q38" s="5">
        <v>3262.9</v>
      </c>
      <c r="R38" s="4">
        <v>0</v>
      </c>
      <c r="S38" s="5">
        <v>0</v>
      </c>
    </row>
    <row r="39" spans="2:19" x14ac:dyDescent="0.25">
      <c r="B39" s="3">
        <v>32</v>
      </c>
      <c r="C39" s="6" t="s">
        <v>39</v>
      </c>
      <c r="D39" s="4">
        <v>78660</v>
      </c>
      <c r="E39" s="4">
        <v>0</v>
      </c>
      <c r="F39" s="4">
        <v>0</v>
      </c>
      <c r="G39" s="4">
        <v>0</v>
      </c>
      <c r="H39" s="4">
        <v>0</v>
      </c>
      <c r="I39" s="5">
        <v>0</v>
      </c>
      <c r="J39" s="4">
        <v>0</v>
      </c>
      <c r="K39" s="5">
        <v>0</v>
      </c>
      <c r="L39" s="4">
        <v>0</v>
      </c>
      <c r="M39" s="5">
        <v>0</v>
      </c>
      <c r="N39" s="4">
        <v>0</v>
      </c>
      <c r="O39" s="5">
        <v>0</v>
      </c>
      <c r="P39" s="4">
        <v>0</v>
      </c>
      <c r="Q39" s="5">
        <v>0</v>
      </c>
      <c r="R39" s="4">
        <v>0</v>
      </c>
      <c r="S39" s="5">
        <v>0</v>
      </c>
    </row>
    <row r="40" spans="2:19" x14ac:dyDescent="0.25">
      <c r="B40" s="3">
        <v>33</v>
      </c>
      <c r="C40" s="6" t="s">
        <v>117</v>
      </c>
      <c r="D40" s="4">
        <v>33</v>
      </c>
      <c r="E40" s="4">
        <v>0</v>
      </c>
      <c r="F40" s="4">
        <v>0</v>
      </c>
      <c r="G40" s="4">
        <v>0</v>
      </c>
      <c r="H40" s="4">
        <v>0</v>
      </c>
      <c r="I40" s="5">
        <v>0</v>
      </c>
      <c r="J40" s="4">
        <v>0</v>
      </c>
      <c r="K40" s="5">
        <v>0</v>
      </c>
      <c r="L40" s="4">
        <v>0</v>
      </c>
      <c r="M40" s="5">
        <v>0</v>
      </c>
      <c r="N40" s="4">
        <v>0</v>
      </c>
      <c r="O40" s="5">
        <v>0</v>
      </c>
      <c r="P40" s="4">
        <v>0</v>
      </c>
      <c r="Q40" s="5">
        <v>0</v>
      </c>
      <c r="R40" s="4">
        <v>0</v>
      </c>
      <c r="S40" s="5">
        <v>0</v>
      </c>
    </row>
    <row r="41" spans="2:19" x14ac:dyDescent="0.25">
      <c r="B41" s="3">
        <v>34</v>
      </c>
      <c r="C41" s="6" t="s">
        <v>83</v>
      </c>
      <c r="D41" s="4">
        <v>0</v>
      </c>
      <c r="E41" s="4">
        <v>631248</v>
      </c>
      <c r="F41" s="4">
        <v>0</v>
      </c>
      <c r="G41" s="4">
        <v>631248</v>
      </c>
      <c r="H41" s="4">
        <v>0</v>
      </c>
      <c r="I41" s="5">
        <v>0</v>
      </c>
      <c r="J41" s="4">
        <v>0</v>
      </c>
      <c r="K41" s="5">
        <v>0</v>
      </c>
      <c r="L41" s="4">
        <v>689573</v>
      </c>
      <c r="M41" s="5">
        <v>82572.974000000002</v>
      </c>
      <c r="N41" s="4">
        <v>0</v>
      </c>
      <c r="O41" s="5">
        <v>0</v>
      </c>
      <c r="P41" s="4">
        <v>0</v>
      </c>
      <c r="Q41" s="5">
        <v>0</v>
      </c>
      <c r="R41" s="4">
        <v>0</v>
      </c>
      <c r="S41" s="5">
        <v>0</v>
      </c>
    </row>
    <row r="42" spans="2:19" x14ac:dyDescent="0.25">
      <c r="B42" s="3">
        <v>35</v>
      </c>
      <c r="C42" s="6" t="s">
        <v>40</v>
      </c>
      <c r="D42" s="4">
        <v>240865</v>
      </c>
      <c r="E42" s="4">
        <v>0</v>
      </c>
      <c r="F42" s="4">
        <v>15643</v>
      </c>
      <c r="G42" s="4">
        <v>0</v>
      </c>
      <c r="H42" s="4">
        <v>1040</v>
      </c>
      <c r="I42" s="5">
        <v>3079.5254199999999</v>
      </c>
      <c r="J42" s="4">
        <v>2076</v>
      </c>
      <c r="K42" s="5">
        <v>1534.45929</v>
      </c>
      <c r="L42" s="4">
        <v>0</v>
      </c>
      <c r="M42" s="5">
        <v>0</v>
      </c>
      <c r="N42" s="4">
        <v>0</v>
      </c>
      <c r="O42" s="5">
        <v>0</v>
      </c>
      <c r="P42" s="4">
        <v>0</v>
      </c>
      <c r="Q42" s="5">
        <v>0</v>
      </c>
      <c r="R42" s="4">
        <v>0</v>
      </c>
      <c r="S42" s="5">
        <v>0</v>
      </c>
    </row>
    <row r="43" spans="2:19" x14ac:dyDescent="0.25">
      <c r="B43" s="3">
        <v>36</v>
      </c>
      <c r="C43" s="6" t="s">
        <v>41</v>
      </c>
      <c r="D43" s="4">
        <v>5825</v>
      </c>
      <c r="E43" s="4">
        <v>1477851</v>
      </c>
      <c r="F43" s="4">
        <v>1774</v>
      </c>
      <c r="G43" s="4">
        <v>5809</v>
      </c>
      <c r="H43" s="4">
        <v>58</v>
      </c>
      <c r="I43" s="5">
        <v>58.911679999999997</v>
      </c>
      <c r="J43" s="4">
        <v>0</v>
      </c>
      <c r="K43" s="5">
        <v>0</v>
      </c>
      <c r="L43" s="4">
        <v>10403</v>
      </c>
      <c r="M43" s="5">
        <v>554.67901000000006</v>
      </c>
      <c r="N43" s="4">
        <v>724</v>
      </c>
      <c r="O43" s="5">
        <v>3197.0813800000001</v>
      </c>
      <c r="P43" s="4">
        <v>42</v>
      </c>
      <c r="Q43" s="5">
        <v>286.89999999999998</v>
      </c>
      <c r="R43" s="4">
        <v>0</v>
      </c>
      <c r="S43" s="5">
        <v>0</v>
      </c>
    </row>
    <row r="44" spans="2:19" x14ac:dyDescent="0.25">
      <c r="B44" s="3">
        <v>37</v>
      </c>
      <c r="C44" s="6" t="s">
        <v>42</v>
      </c>
      <c r="D44" s="4">
        <v>20053</v>
      </c>
      <c r="E44" s="4">
        <v>78564</v>
      </c>
      <c r="F44" s="4">
        <v>12510</v>
      </c>
      <c r="G44" s="4">
        <v>36160</v>
      </c>
      <c r="H44" s="4">
        <v>5360</v>
      </c>
      <c r="I44" s="5">
        <v>9363.3281400000014</v>
      </c>
      <c r="J44" s="4">
        <v>0</v>
      </c>
      <c r="K44" s="5">
        <v>0</v>
      </c>
      <c r="L44" s="4">
        <v>526733</v>
      </c>
      <c r="M44" s="5">
        <v>123548.13400000001</v>
      </c>
      <c r="N44" s="4">
        <v>0</v>
      </c>
      <c r="O44" s="5">
        <v>0</v>
      </c>
      <c r="P44" s="4">
        <v>1287</v>
      </c>
      <c r="Q44" s="5">
        <v>10366.299999999999</v>
      </c>
      <c r="R44" s="4">
        <v>0</v>
      </c>
      <c r="S44" s="5">
        <v>0</v>
      </c>
    </row>
    <row r="45" spans="2:19" x14ac:dyDescent="0.25">
      <c r="B45" s="3">
        <v>38</v>
      </c>
      <c r="C45" s="6" t="s">
        <v>43</v>
      </c>
      <c r="D45" s="4">
        <v>6141949</v>
      </c>
      <c r="E45" s="4">
        <v>593811</v>
      </c>
      <c r="F45" s="4">
        <v>766182</v>
      </c>
      <c r="G45" s="4">
        <v>127955</v>
      </c>
      <c r="H45" s="4">
        <v>1291325</v>
      </c>
      <c r="I45" s="5">
        <v>40328.384669999999</v>
      </c>
      <c r="J45" s="4">
        <v>40129</v>
      </c>
      <c r="K45" s="5">
        <v>119087.29577</v>
      </c>
      <c r="L45" s="4">
        <v>676673</v>
      </c>
      <c r="M45" s="5">
        <v>12339.54306</v>
      </c>
      <c r="N45" s="4">
        <v>0</v>
      </c>
      <c r="O45" s="5">
        <v>0</v>
      </c>
      <c r="P45" s="4">
        <v>46019</v>
      </c>
      <c r="Q45" s="5">
        <v>139235.56640000001</v>
      </c>
      <c r="R45" s="4">
        <v>0</v>
      </c>
      <c r="S45" s="5">
        <v>0</v>
      </c>
    </row>
    <row r="46" spans="2:19" x14ac:dyDescent="0.25">
      <c r="B46" s="22" t="s">
        <v>44</v>
      </c>
      <c r="C46" s="22"/>
      <c r="D46" s="4"/>
      <c r="E46" s="4"/>
      <c r="F46" s="4"/>
      <c r="G46" s="4"/>
      <c r="H46" s="4"/>
      <c r="I46" s="5"/>
      <c r="J46" s="4"/>
      <c r="K46" s="5"/>
      <c r="L46" s="4"/>
      <c r="M46" s="5"/>
      <c r="N46" s="4"/>
      <c r="O46" s="5"/>
      <c r="P46" s="4"/>
      <c r="Q46" s="5"/>
      <c r="R46" s="4"/>
      <c r="S46" s="5"/>
    </row>
    <row r="47" spans="2:19" x14ac:dyDescent="0.25">
      <c r="B47" s="3">
        <v>1</v>
      </c>
      <c r="C47" s="6" t="s">
        <v>109</v>
      </c>
      <c r="D47" s="7">
        <v>59412</v>
      </c>
      <c r="E47" s="7">
        <v>3440</v>
      </c>
      <c r="F47" s="7">
        <v>59412</v>
      </c>
      <c r="G47" s="7">
        <v>3440</v>
      </c>
      <c r="H47" s="7">
        <v>23281</v>
      </c>
      <c r="I47" s="8">
        <v>106286.57786000002</v>
      </c>
      <c r="J47" s="7">
        <v>0</v>
      </c>
      <c r="K47" s="8">
        <v>0</v>
      </c>
      <c r="L47" s="7">
        <v>19</v>
      </c>
      <c r="M47" s="8">
        <v>2.19855</v>
      </c>
      <c r="N47" s="7">
        <v>0</v>
      </c>
      <c r="O47" s="8">
        <v>0</v>
      </c>
      <c r="P47" s="7">
        <v>0</v>
      </c>
      <c r="Q47" s="8">
        <v>0</v>
      </c>
      <c r="R47" s="7">
        <v>0</v>
      </c>
      <c r="S47" s="8">
        <v>0</v>
      </c>
    </row>
    <row r="48" spans="2:19" ht="38.25" x14ac:dyDescent="0.25">
      <c r="B48" s="3">
        <v>2</v>
      </c>
      <c r="C48" s="6" t="s">
        <v>85</v>
      </c>
      <c r="D48" s="7">
        <v>0</v>
      </c>
      <c r="E48" s="7">
        <v>76969116</v>
      </c>
      <c r="F48" s="7">
        <v>0</v>
      </c>
      <c r="G48" s="7">
        <v>19813667</v>
      </c>
      <c r="H48" s="4">
        <v>0</v>
      </c>
      <c r="I48" s="5">
        <v>0</v>
      </c>
      <c r="J48" s="7">
        <v>0</v>
      </c>
      <c r="K48" s="8">
        <v>0</v>
      </c>
      <c r="L48" s="7">
        <v>17236573</v>
      </c>
      <c r="M48" s="8">
        <v>6501579.6065299995</v>
      </c>
      <c r="N48" s="7">
        <v>3081485</v>
      </c>
      <c r="O48" s="8">
        <v>9841890.7730200011</v>
      </c>
      <c r="P48" s="7">
        <v>0</v>
      </c>
      <c r="Q48" s="8">
        <v>0</v>
      </c>
      <c r="R48" s="7">
        <v>0</v>
      </c>
      <c r="S48" s="8">
        <v>0</v>
      </c>
    </row>
    <row r="49" spans="2:19" x14ac:dyDescent="0.25">
      <c r="B49" s="3">
        <v>3</v>
      </c>
      <c r="C49" s="6" t="s">
        <v>101</v>
      </c>
      <c r="D49" s="7">
        <v>0</v>
      </c>
      <c r="E49" s="7">
        <v>1021388</v>
      </c>
      <c r="F49" s="7">
        <v>0</v>
      </c>
      <c r="G49" s="7">
        <v>1017304</v>
      </c>
      <c r="H49" s="7">
        <v>0</v>
      </c>
      <c r="I49" s="8">
        <v>0</v>
      </c>
      <c r="J49" s="7">
        <v>0</v>
      </c>
      <c r="K49" s="8">
        <v>0</v>
      </c>
      <c r="L49" s="7">
        <v>190976</v>
      </c>
      <c r="M49" s="8">
        <v>65062.755539999998</v>
      </c>
      <c r="N49" s="7">
        <v>155202</v>
      </c>
      <c r="O49" s="8">
        <v>380517.05830000003</v>
      </c>
      <c r="P49" s="7">
        <v>0</v>
      </c>
      <c r="Q49" s="8">
        <v>0</v>
      </c>
      <c r="R49" s="7">
        <v>0</v>
      </c>
      <c r="S49" s="8">
        <v>0</v>
      </c>
    </row>
    <row r="50" spans="2:19" x14ac:dyDescent="0.25">
      <c r="B50" s="3">
        <v>4</v>
      </c>
      <c r="C50" s="6" t="s">
        <v>45</v>
      </c>
      <c r="D50" s="7">
        <v>4639123</v>
      </c>
      <c r="E50" s="7">
        <v>540891</v>
      </c>
      <c r="F50" s="7">
        <v>445365</v>
      </c>
      <c r="G50" s="7">
        <v>2604</v>
      </c>
      <c r="H50" s="4">
        <v>14615</v>
      </c>
      <c r="I50" s="5">
        <v>53722.912659999995</v>
      </c>
      <c r="J50" s="7">
        <v>0</v>
      </c>
      <c r="K50" s="8">
        <v>0</v>
      </c>
      <c r="L50" s="7">
        <v>14</v>
      </c>
      <c r="M50" s="8">
        <v>19.940540000000002</v>
      </c>
      <c r="N50" s="7">
        <v>7</v>
      </c>
      <c r="O50" s="8">
        <v>9.85</v>
      </c>
      <c r="P50" s="7">
        <v>0</v>
      </c>
      <c r="Q50" s="8">
        <v>0</v>
      </c>
      <c r="R50" s="7">
        <v>0</v>
      </c>
      <c r="S50" s="8">
        <v>0</v>
      </c>
    </row>
    <row r="51" spans="2:19" x14ac:dyDescent="0.25">
      <c r="B51" s="3">
        <v>5</v>
      </c>
      <c r="C51" s="6" t="s">
        <v>46</v>
      </c>
      <c r="D51" s="7">
        <v>64</v>
      </c>
      <c r="E51" s="7">
        <v>37865091</v>
      </c>
      <c r="F51" s="7">
        <v>64</v>
      </c>
      <c r="G51" s="7">
        <v>9064416</v>
      </c>
      <c r="H51" s="4">
        <v>75</v>
      </c>
      <c r="I51" s="5">
        <v>1.8049999999999999</v>
      </c>
      <c r="J51" s="7">
        <v>0</v>
      </c>
      <c r="K51" s="8">
        <v>0</v>
      </c>
      <c r="L51" s="7">
        <v>11859992</v>
      </c>
      <c r="M51" s="8">
        <v>1098095.26574004</v>
      </c>
      <c r="N51" s="7">
        <v>155859</v>
      </c>
      <c r="O51" s="8">
        <v>628107.83175000094</v>
      </c>
      <c r="P51" s="7">
        <v>0</v>
      </c>
      <c r="Q51" s="8">
        <v>0</v>
      </c>
      <c r="R51" s="7">
        <v>0</v>
      </c>
      <c r="S51" s="8">
        <v>0</v>
      </c>
    </row>
    <row r="52" spans="2:19" x14ac:dyDescent="0.25">
      <c r="B52" s="3">
        <v>6</v>
      </c>
      <c r="C52" s="6" t="s">
        <v>47</v>
      </c>
      <c r="D52" s="7">
        <v>0</v>
      </c>
      <c r="E52" s="7">
        <v>32625783</v>
      </c>
      <c r="F52" s="7">
        <v>0</v>
      </c>
      <c r="G52" s="7">
        <v>14840186</v>
      </c>
      <c r="H52" s="4">
        <v>0</v>
      </c>
      <c r="I52" s="5">
        <v>0</v>
      </c>
      <c r="J52" s="7">
        <v>0</v>
      </c>
      <c r="K52" s="8">
        <v>0</v>
      </c>
      <c r="L52" s="7">
        <v>78984</v>
      </c>
      <c r="M52" s="8">
        <v>18749.126319999999</v>
      </c>
      <c r="N52" s="7">
        <v>98882</v>
      </c>
      <c r="O52" s="8">
        <v>45718.608999999997</v>
      </c>
      <c r="P52" s="7">
        <v>0</v>
      </c>
      <c r="Q52" s="8">
        <v>0</v>
      </c>
      <c r="R52" s="7">
        <v>0</v>
      </c>
      <c r="S52" s="8">
        <v>0</v>
      </c>
    </row>
    <row r="53" spans="2:19" x14ac:dyDescent="0.25">
      <c r="B53" s="3">
        <v>7</v>
      </c>
      <c r="C53" s="6" t="s">
        <v>104</v>
      </c>
      <c r="D53" s="7">
        <v>0</v>
      </c>
      <c r="E53" s="7">
        <v>1195</v>
      </c>
      <c r="F53" s="7">
        <v>0</v>
      </c>
      <c r="G53" s="7">
        <v>1172</v>
      </c>
      <c r="H53" s="7">
        <v>0</v>
      </c>
      <c r="I53" s="8">
        <v>0</v>
      </c>
      <c r="J53" s="7">
        <v>0</v>
      </c>
      <c r="K53" s="8">
        <v>0</v>
      </c>
      <c r="L53" s="7">
        <v>269</v>
      </c>
      <c r="M53" s="8">
        <v>273.33161999999999</v>
      </c>
      <c r="N53" s="7">
        <v>0</v>
      </c>
      <c r="O53" s="8">
        <v>0</v>
      </c>
      <c r="P53" s="7">
        <v>0</v>
      </c>
      <c r="Q53" s="8">
        <v>0</v>
      </c>
      <c r="R53" s="7">
        <v>0</v>
      </c>
      <c r="S53" s="8">
        <v>0</v>
      </c>
    </row>
    <row r="54" spans="2:19" x14ac:dyDescent="0.25">
      <c r="B54" s="3">
        <v>8</v>
      </c>
      <c r="C54" s="6" t="s">
        <v>123</v>
      </c>
      <c r="D54" s="7">
        <v>112</v>
      </c>
      <c r="E54" s="7">
        <v>111</v>
      </c>
      <c r="F54" s="7">
        <v>112</v>
      </c>
      <c r="G54" s="7">
        <v>111</v>
      </c>
      <c r="H54" s="7">
        <v>0</v>
      </c>
      <c r="I54" s="8">
        <v>0</v>
      </c>
      <c r="J54" s="7">
        <v>0</v>
      </c>
      <c r="K54" s="8">
        <v>0</v>
      </c>
      <c r="L54" s="7">
        <v>224</v>
      </c>
      <c r="M54" s="8">
        <v>24.731480000000001</v>
      </c>
      <c r="N54" s="7">
        <v>109</v>
      </c>
      <c r="O54" s="8">
        <v>122.697</v>
      </c>
      <c r="P54" s="7">
        <v>2</v>
      </c>
      <c r="Q54" s="8">
        <v>1</v>
      </c>
      <c r="R54" s="7">
        <v>0</v>
      </c>
      <c r="S54" s="8">
        <v>0</v>
      </c>
    </row>
    <row r="55" spans="2:19" x14ac:dyDescent="0.25">
      <c r="B55" s="3">
        <v>9</v>
      </c>
      <c r="C55" s="6" t="s">
        <v>48</v>
      </c>
      <c r="D55" s="7">
        <v>25665280</v>
      </c>
      <c r="E55" s="7">
        <v>0</v>
      </c>
      <c r="F55" s="7">
        <v>25665280</v>
      </c>
      <c r="G55" s="7">
        <v>0</v>
      </c>
      <c r="H55" s="7">
        <v>42421944</v>
      </c>
      <c r="I55" s="8">
        <v>1587746.99</v>
      </c>
      <c r="J55" s="7">
        <v>0</v>
      </c>
      <c r="K55" s="8">
        <v>0</v>
      </c>
      <c r="L55" s="7">
        <v>0</v>
      </c>
      <c r="M55" s="8">
        <v>0</v>
      </c>
      <c r="N55" s="7">
        <v>0</v>
      </c>
      <c r="O55" s="8">
        <v>0</v>
      </c>
      <c r="P55" s="7">
        <v>0</v>
      </c>
      <c r="Q55" s="8">
        <v>0</v>
      </c>
      <c r="R55" s="7">
        <v>0</v>
      </c>
      <c r="S55" s="8">
        <v>0</v>
      </c>
    </row>
    <row r="56" spans="2:19" ht="25.5" x14ac:dyDescent="0.25">
      <c r="B56" s="3">
        <v>10</v>
      </c>
      <c r="C56" s="6" t="s">
        <v>88</v>
      </c>
      <c r="D56" s="7">
        <v>0</v>
      </c>
      <c r="E56" s="7">
        <v>4638611</v>
      </c>
      <c r="F56" s="7">
        <v>0</v>
      </c>
      <c r="G56" s="7">
        <v>3878123</v>
      </c>
      <c r="H56" s="4">
        <v>0</v>
      </c>
      <c r="I56" s="5">
        <v>0</v>
      </c>
      <c r="J56" s="7">
        <v>0</v>
      </c>
      <c r="K56" s="8">
        <v>0</v>
      </c>
      <c r="L56" s="7">
        <v>1324467</v>
      </c>
      <c r="M56" s="8">
        <v>626413.10769000009</v>
      </c>
      <c r="N56" s="27">
        <v>1105625</v>
      </c>
      <c r="O56" s="8">
        <v>9425660.8607700001</v>
      </c>
      <c r="P56" s="7">
        <v>0</v>
      </c>
      <c r="Q56" s="8">
        <v>0</v>
      </c>
      <c r="R56" s="7">
        <v>0</v>
      </c>
      <c r="S56" s="8">
        <v>0</v>
      </c>
    </row>
    <row r="57" spans="2:19" ht="25.5" x14ac:dyDescent="0.25">
      <c r="B57" s="3">
        <v>11</v>
      </c>
      <c r="C57" s="6" t="s">
        <v>49</v>
      </c>
      <c r="D57" s="7">
        <v>257756</v>
      </c>
      <c r="E57" s="7">
        <v>12474129</v>
      </c>
      <c r="F57" s="7">
        <v>134226</v>
      </c>
      <c r="G57" s="7">
        <v>1294409</v>
      </c>
      <c r="H57" s="4">
        <v>23296</v>
      </c>
      <c r="I57" s="5">
        <v>52995.649079999996</v>
      </c>
      <c r="J57" s="7">
        <v>0</v>
      </c>
      <c r="K57" s="8">
        <v>0</v>
      </c>
      <c r="L57" s="7">
        <v>243</v>
      </c>
      <c r="M57" s="8">
        <v>1354.30782</v>
      </c>
      <c r="N57" s="7">
        <v>14955</v>
      </c>
      <c r="O57" s="8">
        <v>25270.305250000001</v>
      </c>
      <c r="P57" s="7">
        <v>0</v>
      </c>
      <c r="Q57" s="8">
        <v>0</v>
      </c>
      <c r="R57" s="7">
        <v>0</v>
      </c>
      <c r="S57" s="8">
        <v>0</v>
      </c>
    </row>
    <row r="58" spans="2:19" x14ac:dyDescent="0.25">
      <c r="B58" s="3">
        <v>12</v>
      </c>
      <c r="C58" s="6" t="s">
        <v>50</v>
      </c>
      <c r="D58" s="7">
        <v>1522394</v>
      </c>
      <c r="E58" s="7">
        <v>1544653</v>
      </c>
      <c r="F58" s="7">
        <v>15448</v>
      </c>
      <c r="G58" s="7">
        <v>1248922</v>
      </c>
      <c r="H58" s="7">
        <v>264</v>
      </c>
      <c r="I58" s="8">
        <v>327.51600000000002</v>
      </c>
      <c r="J58" s="7">
        <v>0</v>
      </c>
      <c r="K58" s="8">
        <v>0</v>
      </c>
      <c r="L58" s="7">
        <v>1883195</v>
      </c>
      <c r="M58" s="8">
        <v>999173.04799999995</v>
      </c>
      <c r="N58" s="7">
        <v>105312</v>
      </c>
      <c r="O58" s="8">
        <v>78344.159</v>
      </c>
      <c r="P58" s="7">
        <v>716</v>
      </c>
      <c r="Q58" s="8">
        <v>936.21</v>
      </c>
      <c r="R58" s="7">
        <v>0</v>
      </c>
      <c r="S58" s="8">
        <v>0</v>
      </c>
    </row>
    <row r="59" spans="2:19" x14ac:dyDescent="0.25">
      <c r="B59" s="3">
        <v>13</v>
      </c>
      <c r="C59" s="6" t="s">
        <v>87</v>
      </c>
      <c r="D59" s="7">
        <v>109686</v>
      </c>
      <c r="E59" s="7">
        <v>0</v>
      </c>
      <c r="F59" s="7">
        <v>56935</v>
      </c>
      <c r="G59" s="7">
        <v>0</v>
      </c>
      <c r="H59" s="7">
        <v>2067</v>
      </c>
      <c r="I59" s="8">
        <v>12426.877380000002</v>
      </c>
      <c r="J59" s="7">
        <v>0</v>
      </c>
      <c r="K59" s="8">
        <v>0</v>
      </c>
      <c r="L59" s="7">
        <v>0</v>
      </c>
      <c r="M59" s="8">
        <v>0</v>
      </c>
      <c r="N59" s="7">
        <v>0</v>
      </c>
      <c r="O59" s="8">
        <v>0</v>
      </c>
      <c r="P59" s="7">
        <v>0</v>
      </c>
      <c r="Q59" s="8">
        <v>0</v>
      </c>
      <c r="R59" s="7">
        <v>0</v>
      </c>
      <c r="S59" s="8">
        <v>0</v>
      </c>
    </row>
    <row r="60" spans="2:19" x14ac:dyDescent="0.25">
      <c r="B60" s="3">
        <v>14</v>
      </c>
      <c r="C60" s="6" t="s">
        <v>100</v>
      </c>
      <c r="D60" s="7">
        <v>10770801</v>
      </c>
      <c r="E60" s="7">
        <v>16514</v>
      </c>
      <c r="F60" s="7">
        <v>10015721</v>
      </c>
      <c r="G60" s="7">
        <v>16357</v>
      </c>
      <c r="H60" s="7">
        <v>785487</v>
      </c>
      <c r="I60" s="8">
        <v>940690.83684999985</v>
      </c>
      <c r="J60" s="7">
        <v>0</v>
      </c>
      <c r="K60" s="8">
        <v>0</v>
      </c>
      <c r="L60" s="7">
        <v>824</v>
      </c>
      <c r="M60" s="8">
        <v>332.55288999999999</v>
      </c>
      <c r="N60" s="7">
        <v>14315</v>
      </c>
      <c r="O60" s="8">
        <v>13792.18598</v>
      </c>
      <c r="P60" s="7">
        <v>0</v>
      </c>
      <c r="Q60" s="8">
        <v>0</v>
      </c>
      <c r="R60" s="7">
        <v>0</v>
      </c>
      <c r="S60" s="8">
        <v>0</v>
      </c>
    </row>
    <row r="61" spans="2:19" ht="25.5" x14ac:dyDescent="0.25">
      <c r="B61" s="3">
        <v>15</v>
      </c>
      <c r="C61" s="6" t="s">
        <v>86</v>
      </c>
      <c r="D61" s="7">
        <v>403974</v>
      </c>
      <c r="E61" s="7">
        <v>18961</v>
      </c>
      <c r="F61" s="7">
        <v>6314</v>
      </c>
      <c r="G61" s="7">
        <v>55</v>
      </c>
      <c r="H61" s="7">
        <v>0</v>
      </c>
      <c r="I61" s="8">
        <v>0</v>
      </c>
      <c r="J61" s="7">
        <v>0</v>
      </c>
      <c r="K61" s="8">
        <v>0</v>
      </c>
      <c r="L61" s="7">
        <v>45</v>
      </c>
      <c r="M61" s="8">
        <v>9.4028500000000008</v>
      </c>
      <c r="N61" s="7">
        <v>58</v>
      </c>
      <c r="O61" s="8">
        <v>43.666839999999993</v>
      </c>
      <c r="P61" s="7">
        <v>0</v>
      </c>
      <c r="Q61" s="8">
        <v>0</v>
      </c>
      <c r="R61" s="7">
        <v>0</v>
      </c>
      <c r="S61" s="8">
        <v>0</v>
      </c>
    </row>
    <row r="62" spans="2:19" x14ac:dyDescent="0.25">
      <c r="B62" s="3">
        <v>16</v>
      </c>
      <c r="C62" s="6" t="s">
        <v>106</v>
      </c>
      <c r="D62" s="7">
        <v>0</v>
      </c>
      <c r="E62" s="7">
        <v>33479</v>
      </c>
      <c r="F62" s="7">
        <v>0</v>
      </c>
      <c r="G62" s="7">
        <v>33479</v>
      </c>
      <c r="H62" s="7">
        <v>0</v>
      </c>
      <c r="I62" s="8">
        <v>0</v>
      </c>
      <c r="J62" s="7">
        <v>0</v>
      </c>
      <c r="K62" s="8">
        <v>0</v>
      </c>
      <c r="L62" s="7">
        <v>3300</v>
      </c>
      <c r="M62" s="8">
        <v>362.80811</v>
      </c>
      <c r="N62" s="7">
        <v>410</v>
      </c>
      <c r="O62" s="8">
        <v>368.23740999999995</v>
      </c>
      <c r="P62" s="7">
        <v>0</v>
      </c>
      <c r="Q62" s="8">
        <v>0</v>
      </c>
      <c r="R62" s="7">
        <v>0</v>
      </c>
      <c r="S62" s="8">
        <v>0</v>
      </c>
    </row>
    <row r="63" spans="2:19" x14ac:dyDescent="0.25">
      <c r="B63" s="3">
        <v>17</v>
      </c>
      <c r="C63" s="6" t="s">
        <v>105</v>
      </c>
      <c r="D63" s="7">
        <v>1966</v>
      </c>
      <c r="E63" s="7">
        <v>0</v>
      </c>
      <c r="F63" s="7">
        <v>1954</v>
      </c>
      <c r="G63" s="7">
        <v>0</v>
      </c>
      <c r="H63" s="7">
        <v>674</v>
      </c>
      <c r="I63" s="8">
        <v>124.30248</v>
      </c>
      <c r="J63" s="7">
        <v>0</v>
      </c>
      <c r="K63" s="8">
        <v>0</v>
      </c>
      <c r="L63" s="7">
        <v>0</v>
      </c>
      <c r="M63" s="8">
        <v>0</v>
      </c>
      <c r="N63" s="7">
        <v>0</v>
      </c>
      <c r="O63" s="8">
        <v>0</v>
      </c>
      <c r="P63" s="7">
        <v>0</v>
      </c>
      <c r="Q63" s="8">
        <v>0</v>
      </c>
      <c r="R63" s="7">
        <v>0</v>
      </c>
      <c r="S63" s="8">
        <v>0</v>
      </c>
    </row>
    <row r="64" spans="2:19" x14ac:dyDescent="0.25">
      <c r="B64" s="3">
        <v>18</v>
      </c>
      <c r="C64" s="6" t="s">
        <v>51</v>
      </c>
      <c r="D64" s="7">
        <v>877224</v>
      </c>
      <c r="E64" s="7">
        <v>9770</v>
      </c>
      <c r="F64" s="7">
        <v>585704</v>
      </c>
      <c r="G64" s="7">
        <v>0</v>
      </c>
      <c r="H64" s="7">
        <v>14336645</v>
      </c>
      <c r="I64" s="8">
        <v>7236871.2932399902</v>
      </c>
      <c r="J64" s="7">
        <v>14916</v>
      </c>
      <c r="K64" s="8">
        <v>54945.695153366003</v>
      </c>
      <c r="L64" s="7">
        <v>0</v>
      </c>
      <c r="M64" s="8">
        <v>0</v>
      </c>
      <c r="N64" s="7">
        <v>0</v>
      </c>
      <c r="O64" s="8">
        <v>0</v>
      </c>
      <c r="P64" s="7">
        <v>129</v>
      </c>
      <c r="Q64" s="8">
        <v>168.3</v>
      </c>
      <c r="R64" s="7">
        <v>0</v>
      </c>
      <c r="S64" s="8">
        <v>0</v>
      </c>
    </row>
    <row r="65" spans="2:19" x14ac:dyDescent="0.25">
      <c r="B65" s="3">
        <v>19</v>
      </c>
      <c r="C65" s="6" t="s">
        <v>52</v>
      </c>
      <c r="D65" s="7">
        <v>0</v>
      </c>
      <c r="E65" s="7">
        <v>18316</v>
      </c>
      <c r="F65" s="7">
        <v>0</v>
      </c>
      <c r="G65" s="7">
        <v>5429</v>
      </c>
      <c r="H65" s="7">
        <v>0</v>
      </c>
      <c r="I65" s="8">
        <v>0</v>
      </c>
      <c r="J65" s="7">
        <v>0</v>
      </c>
      <c r="K65" s="8">
        <v>0</v>
      </c>
      <c r="L65" s="7">
        <v>6</v>
      </c>
      <c r="M65" s="8">
        <v>38.250999999999998</v>
      </c>
      <c r="N65" s="7">
        <v>8039</v>
      </c>
      <c r="O65" s="8">
        <v>100072.11749999999</v>
      </c>
      <c r="P65" s="7">
        <v>0</v>
      </c>
      <c r="Q65" s="8">
        <v>0</v>
      </c>
      <c r="R65" s="7">
        <v>0</v>
      </c>
      <c r="S65" s="8">
        <v>0</v>
      </c>
    </row>
    <row r="66" spans="2:19" x14ac:dyDescent="0.25">
      <c r="B66" s="3">
        <v>20</v>
      </c>
      <c r="C66" s="6" t="s">
        <v>99</v>
      </c>
      <c r="D66" s="7">
        <v>11</v>
      </c>
      <c r="E66" s="7">
        <v>57801</v>
      </c>
      <c r="F66" s="7">
        <v>3</v>
      </c>
      <c r="G66" s="7">
        <v>15562</v>
      </c>
      <c r="H66" s="4">
        <v>0</v>
      </c>
      <c r="I66" s="5">
        <v>0</v>
      </c>
      <c r="J66" s="7">
        <v>0</v>
      </c>
      <c r="K66" s="8">
        <v>0</v>
      </c>
      <c r="L66" s="7">
        <v>55650</v>
      </c>
      <c r="M66" s="8">
        <v>2463087.9201100003</v>
      </c>
      <c r="N66" s="7">
        <v>1749</v>
      </c>
      <c r="O66" s="8">
        <v>3493.27934</v>
      </c>
      <c r="P66" s="7">
        <v>1</v>
      </c>
      <c r="Q66" s="8">
        <v>0.9</v>
      </c>
      <c r="R66" s="7">
        <v>0</v>
      </c>
      <c r="S66" s="8">
        <v>0</v>
      </c>
    </row>
    <row r="67" spans="2:19" x14ac:dyDescent="0.25">
      <c r="B67" s="3">
        <v>21</v>
      </c>
      <c r="C67" s="6" t="s">
        <v>89</v>
      </c>
      <c r="D67" s="7">
        <v>0</v>
      </c>
      <c r="E67" s="7">
        <v>5378</v>
      </c>
      <c r="F67" s="7">
        <v>0</v>
      </c>
      <c r="G67" s="7">
        <v>806</v>
      </c>
      <c r="H67" s="7">
        <v>0</v>
      </c>
      <c r="I67" s="8">
        <v>0</v>
      </c>
      <c r="J67" s="7">
        <v>0</v>
      </c>
      <c r="K67" s="8">
        <v>0</v>
      </c>
      <c r="L67" s="7">
        <v>0</v>
      </c>
      <c r="M67" s="8">
        <v>0</v>
      </c>
      <c r="N67" s="7">
        <v>0</v>
      </c>
      <c r="O67" s="8">
        <v>0</v>
      </c>
      <c r="P67" s="7">
        <v>0</v>
      </c>
      <c r="Q67" s="8">
        <v>0</v>
      </c>
      <c r="R67" s="7">
        <v>0</v>
      </c>
      <c r="S67" s="8">
        <v>0</v>
      </c>
    </row>
    <row r="68" spans="2:19" x14ac:dyDescent="0.25">
      <c r="B68" s="3">
        <v>22</v>
      </c>
      <c r="C68" s="6" t="s">
        <v>107</v>
      </c>
      <c r="D68" s="7">
        <v>0</v>
      </c>
      <c r="E68" s="7">
        <v>170</v>
      </c>
      <c r="F68" s="7">
        <v>0</v>
      </c>
      <c r="G68" s="7">
        <v>170</v>
      </c>
      <c r="H68" s="4">
        <v>0</v>
      </c>
      <c r="I68" s="5">
        <v>0</v>
      </c>
      <c r="J68" s="7">
        <v>0</v>
      </c>
      <c r="K68" s="8">
        <v>0</v>
      </c>
      <c r="L68" s="7">
        <v>252</v>
      </c>
      <c r="M68" s="8">
        <v>86.828649999999996</v>
      </c>
      <c r="N68" s="7">
        <v>192</v>
      </c>
      <c r="O68" s="8">
        <v>116.58052000000001</v>
      </c>
      <c r="P68" s="7">
        <v>0</v>
      </c>
      <c r="Q68" s="8">
        <v>0</v>
      </c>
      <c r="R68" s="7">
        <v>0</v>
      </c>
      <c r="S68" s="8">
        <v>0</v>
      </c>
    </row>
    <row r="69" spans="2:19" ht="25.5" x14ac:dyDescent="0.25">
      <c r="B69" s="3">
        <v>23</v>
      </c>
      <c r="C69" s="6" t="s">
        <v>108</v>
      </c>
      <c r="D69" s="7">
        <v>66305</v>
      </c>
      <c r="E69" s="7">
        <v>324</v>
      </c>
      <c r="F69" s="7">
        <v>65873</v>
      </c>
      <c r="G69" s="7">
        <v>44</v>
      </c>
      <c r="H69" s="7">
        <v>114520</v>
      </c>
      <c r="I69" s="8">
        <v>172868.99936000002</v>
      </c>
      <c r="J69" s="7">
        <v>0</v>
      </c>
      <c r="K69" s="8">
        <v>0</v>
      </c>
      <c r="L69" s="7">
        <v>221</v>
      </c>
      <c r="M69" s="8">
        <v>26.6435</v>
      </c>
      <c r="N69" s="7">
        <v>8</v>
      </c>
      <c r="O69" s="8">
        <v>0.50700000000000001</v>
      </c>
      <c r="P69" s="7">
        <v>9</v>
      </c>
      <c r="Q69" s="8">
        <v>13.6</v>
      </c>
      <c r="R69" s="7">
        <v>0</v>
      </c>
      <c r="S69" s="8">
        <v>0</v>
      </c>
    </row>
    <row r="70" spans="2:19" x14ac:dyDescent="0.25">
      <c r="B70" s="3">
        <v>24</v>
      </c>
      <c r="C70" s="6" t="s">
        <v>53</v>
      </c>
      <c r="D70" s="7">
        <v>0</v>
      </c>
      <c r="E70" s="7">
        <v>67956</v>
      </c>
      <c r="F70" s="7">
        <v>0</v>
      </c>
      <c r="G70" s="7">
        <v>10</v>
      </c>
      <c r="H70" s="4">
        <v>0</v>
      </c>
      <c r="I70" s="5">
        <v>0</v>
      </c>
      <c r="J70" s="7">
        <v>0</v>
      </c>
      <c r="K70" s="8">
        <v>0</v>
      </c>
      <c r="L70" s="7">
        <v>0</v>
      </c>
      <c r="M70" s="8">
        <v>0</v>
      </c>
      <c r="N70" s="7">
        <v>0</v>
      </c>
      <c r="O70" s="8">
        <v>0</v>
      </c>
      <c r="P70" s="7">
        <v>0</v>
      </c>
      <c r="Q70" s="8">
        <v>0</v>
      </c>
      <c r="R70" s="7">
        <v>0</v>
      </c>
      <c r="S70" s="8">
        <v>0</v>
      </c>
    </row>
    <row r="71" spans="2:19" x14ac:dyDescent="0.25">
      <c r="B71" s="3">
        <v>25</v>
      </c>
      <c r="C71" s="6" t="s">
        <v>54</v>
      </c>
      <c r="D71" s="7">
        <v>13827</v>
      </c>
      <c r="E71" s="7">
        <v>6889</v>
      </c>
      <c r="F71" s="7">
        <v>8111</v>
      </c>
      <c r="G71" s="7">
        <v>6888</v>
      </c>
      <c r="H71" s="4">
        <v>63305</v>
      </c>
      <c r="I71" s="5">
        <v>86695.69481999999</v>
      </c>
      <c r="J71" s="7">
        <v>79551</v>
      </c>
      <c r="K71" s="8">
        <v>169066.20050000001</v>
      </c>
      <c r="L71" s="7">
        <v>85855</v>
      </c>
      <c r="M71" s="8">
        <v>118386.838409998</v>
      </c>
      <c r="N71" s="7">
        <v>113341</v>
      </c>
      <c r="O71" s="8">
        <v>207520.88861000002</v>
      </c>
      <c r="P71" s="7">
        <v>0</v>
      </c>
      <c r="Q71" s="8">
        <v>0</v>
      </c>
      <c r="R71" s="7">
        <v>0</v>
      </c>
      <c r="S71" s="8">
        <v>0</v>
      </c>
    </row>
    <row r="72" spans="2:19" ht="25.5" x14ac:dyDescent="0.25">
      <c r="B72" s="3">
        <v>26</v>
      </c>
      <c r="C72" s="6" t="s">
        <v>90</v>
      </c>
      <c r="D72" s="7">
        <v>0</v>
      </c>
      <c r="E72" s="7">
        <v>79806366</v>
      </c>
      <c r="F72" s="7">
        <v>0</v>
      </c>
      <c r="G72" s="7">
        <v>478688</v>
      </c>
      <c r="H72" s="7">
        <v>0</v>
      </c>
      <c r="I72" s="8">
        <v>0</v>
      </c>
      <c r="J72" s="7">
        <v>0</v>
      </c>
      <c r="K72" s="8">
        <v>0</v>
      </c>
      <c r="L72" s="7">
        <v>20830</v>
      </c>
      <c r="M72" s="8">
        <v>20641.05197</v>
      </c>
      <c r="N72" s="7">
        <v>347</v>
      </c>
      <c r="O72" s="8">
        <v>233.5214</v>
      </c>
      <c r="P72" s="7">
        <v>0</v>
      </c>
      <c r="Q72" s="8">
        <v>0</v>
      </c>
      <c r="R72" s="7">
        <v>0</v>
      </c>
      <c r="S72" s="8">
        <v>0</v>
      </c>
    </row>
    <row r="73" spans="2:19" x14ac:dyDescent="0.25">
      <c r="B73" s="3">
        <v>27</v>
      </c>
      <c r="C73" s="6" t="s">
        <v>55</v>
      </c>
      <c r="D73" s="7">
        <v>0</v>
      </c>
      <c r="E73" s="7">
        <v>148970870</v>
      </c>
      <c r="F73" s="7">
        <v>0</v>
      </c>
      <c r="G73" s="7">
        <v>5749937</v>
      </c>
      <c r="H73" s="4">
        <v>0</v>
      </c>
      <c r="I73" s="5">
        <v>0</v>
      </c>
      <c r="J73" s="7">
        <v>0</v>
      </c>
      <c r="K73" s="8">
        <v>0</v>
      </c>
      <c r="L73" s="7">
        <v>32259380</v>
      </c>
      <c r="M73" s="8">
        <v>27346139.441669997</v>
      </c>
      <c r="N73" s="7">
        <v>1492463</v>
      </c>
      <c r="O73" s="8">
        <v>12321668.26874</v>
      </c>
      <c r="P73" s="7">
        <v>0</v>
      </c>
      <c r="Q73" s="8">
        <v>0</v>
      </c>
      <c r="R73" s="7">
        <v>0</v>
      </c>
      <c r="S73" s="8">
        <v>0</v>
      </c>
    </row>
    <row r="74" spans="2:19" ht="25.5" x14ac:dyDescent="0.25">
      <c r="B74" s="3">
        <v>28</v>
      </c>
      <c r="C74" s="6" t="s">
        <v>91</v>
      </c>
      <c r="D74" s="7">
        <v>57168</v>
      </c>
      <c r="E74" s="7">
        <v>64174</v>
      </c>
      <c r="F74" s="7">
        <v>3196</v>
      </c>
      <c r="G74" s="7">
        <v>1040</v>
      </c>
      <c r="H74" s="7">
        <v>537</v>
      </c>
      <c r="I74" s="8">
        <v>499.15699999999998</v>
      </c>
      <c r="J74" s="7">
        <v>377</v>
      </c>
      <c r="K74" s="8">
        <v>607.84199999999998</v>
      </c>
      <c r="L74" s="7">
        <v>988</v>
      </c>
      <c r="M74" s="8">
        <v>691.28700000000003</v>
      </c>
      <c r="N74" s="7">
        <v>45</v>
      </c>
      <c r="O74" s="8">
        <v>87.307000000000002</v>
      </c>
      <c r="P74" s="7">
        <v>0</v>
      </c>
      <c r="Q74" s="8">
        <v>0</v>
      </c>
      <c r="R74" s="7">
        <v>0</v>
      </c>
      <c r="S74" s="8">
        <v>0</v>
      </c>
    </row>
    <row r="75" spans="2:19" x14ac:dyDescent="0.25">
      <c r="B75" s="3">
        <v>29</v>
      </c>
      <c r="C75" s="6" t="s">
        <v>92</v>
      </c>
      <c r="D75" s="7">
        <v>11160</v>
      </c>
      <c r="E75" s="7">
        <v>1802400</v>
      </c>
      <c r="F75" s="7">
        <v>3629</v>
      </c>
      <c r="G75" s="7">
        <v>1090078</v>
      </c>
      <c r="H75" s="7">
        <v>74</v>
      </c>
      <c r="I75" s="8">
        <v>207.30944</v>
      </c>
      <c r="J75" s="7">
        <v>0</v>
      </c>
      <c r="K75" s="8">
        <v>0</v>
      </c>
      <c r="L75" s="7">
        <v>530817</v>
      </c>
      <c r="M75" s="8">
        <v>853463.35020999506</v>
      </c>
      <c r="N75" s="7">
        <v>1460471</v>
      </c>
      <c r="O75" s="8">
        <v>9096058.6798500102</v>
      </c>
      <c r="P75" s="7">
        <v>0</v>
      </c>
      <c r="Q75" s="8">
        <v>0</v>
      </c>
      <c r="R75" s="7">
        <v>2002</v>
      </c>
      <c r="S75" s="8">
        <v>2612.431</v>
      </c>
    </row>
    <row r="76" spans="2:19" x14ac:dyDescent="0.25">
      <c r="B76" s="3">
        <v>30</v>
      </c>
      <c r="C76" s="6" t="s">
        <v>56</v>
      </c>
      <c r="D76" s="7">
        <v>0</v>
      </c>
      <c r="E76" s="7">
        <v>579065</v>
      </c>
      <c r="F76" s="7">
        <v>0</v>
      </c>
      <c r="G76" s="7">
        <v>52992</v>
      </c>
      <c r="H76" s="4">
        <v>0</v>
      </c>
      <c r="I76" s="5">
        <v>0</v>
      </c>
      <c r="J76" s="7">
        <v>0</v>
      </c>
      <c r="K76" s="8">
        <v>0</v>
      </c>
      <c r="L76" s="7">
        <v>1728</v>
      </c>
      <c r="M76" s="8">
        <v>622.41120999999998</v>
      </c>
      <c r="N76" s="7">
        <v>2629</v>
      </c>
      <c r="O76" s="8">
        <v>9942.7885200000001</v>
      </c>
      <c r="P76" s="7">
        <v>0</v>
      </c>
      <c r="Q76" s="8">
        <v>0</v>
      </c>
      <c r="R76" s="7">
        <v>0</v>
      </c>
      <c r="S76" s="8">
        <v>0</v>
      </c>
    </row>
    <row r="77" spans="2:19" ht="25.5" x14ac:dyDescent="0.25">
      <c r="B77" s="3">
        <v>31</v>
      </c>
      <c r="C77" s="6" t="s">
        <v>111</v>
      </c>
      <c r="D77" s="7">
        <v>29058</v>
      </c>
      <c r="E77" s="7">
        <v>1154620602</v>
      </c>
      <c r="F77" s="7">
        <v>29058</v>
      </c>
      <c r="G77" s="7">
        <v>951617245</v>
      </c>
      <c r="H77" s="4">
        <v>234653</v>
      </c>
      <c r="I77" s="5">
        <v>10355.607239999999</v>
      </c>
      <c r="J77" s="7">
        <v>0</v>
      </c>
      <c r="K77" s="8">
        <v>0</v>
      </c>
      <c r="L77" s="7">
        <v>39468212</v>
      </c>
      <c r="M77" s="8">
        <v>4626528.6162999999</v>
      </c>
      <c r="N77" s="7">
        <v>9209368</v>
      </c>
      <c r="O77" s="8">
        <v>13395594.76296</v>
      </c>
      <c r="P77" s="7">
        <v>0</v>
      </c>
      <c r="Q77" s="8">
        <v>0</v>
      </c>
      <c r="R77" s="7">
        <v>0</v>
      </c>
      <c r="S77" s="8">
        <v>0</v>
      </c>
    </row>
    <row r="78" spans="2:19" ht="25.5" x14ac:dyDescent="0.25">
      <c r="B78" s="3">
        <v>32</v>
      </c>
      <c r="C78" s="6" t="s">
        <v>112</v>
      </c>
      <c r="D78" s="7">
        <v>305374145</v>
      </c>
      <c r="E78" s="7">
        <v>387262</v>
      </c>
      <c r="F78" s="7">
        <v>142162951</v>
      </c>
      <c r="G78" s="7">
        <v>249231</v>
      </c>
      <c r="H78" s="4">
        <v>79926465</v>
      </c>
      <c r="I78" s="5">
        <v>25297051.22405</v>
      </c>
      <c r="J78" s="7">
        <v>1193</v>
      </c>
      <c r="K78" s="8">
        <v>14273.72</v>
      </c>
      <c r="L78" s="7">
        <v>2944</v>
      </c>
      <c r="M78" s="8">
        <v>2492.7215099999999</v>
      </c>
      <c r="N78" s="7">
        <v>70634</v>
      </c>
      <c r="O78" s="8">
        <v>1272888.973</v>
      </c>
      <c r="P78" s="7">
        <v>408</v>
      </c>
      <c r="Q78" s="8">
        <v>688.6</v>
      </c>
      <c r="R78" s="7">
        <v>0</v>
      </c>
      <c r="S78" s="8">
        <v>0</v>
      </c>
    </row>
    <row r="79" spans="2:19" ht="25.5" x14ac:dyDescent="0.25">
      <c r="B79" s="3">
        <v>33</v>
      </c>
      <c r="C79" s="6" t="s">
        <v>95</v>
      </c>
      <c r="D79" s="7">
        <v>7112266</v>
      </c>
      <c r="E79" s="7">
        <v>0</v>
      </c>
      <c r="F79" s="7">
        <v>2586934</v>
      </c>
      <c r="G79" s="7">
        <v>0</v>
      </c>
      <c r="H79" s="4">
        <v>10665642</v>
      </c>
      <c r="I79" s="5">
        <v>4045617.7170699602</v>
      </c>
      <c r="J79" s="7">
        <v>30167</v>
      </c>
      <c r="K79" s="8">
        <v>292546.27025</v>
      </c>
      <c r="L79" s="7">
        <v>0</v>
      </c>
      <c r="M79" s="8">
        <v>0</v>
      </c>
      <c r="N79" s="7">
        <v>0</v>
      </c>
      <c r="O79" s="8">
        <v>0</v>
      </c>
      <c r="P79" s="7">
        <v>0</v>
      </c>
      <c r="Q79" s="8">
        <v>0</v>
      </c>
      <c r="R79" s="7">
        <v>0</v>
      </c>
      <c r="S79" s="8">
        <v>0</v>
      </c>
    </row>
    <row r="80" spans="2:19" x14ac:dyDescent="0.25">
      <c r="B80" s="3">
        <v>34</v>
      </c>
      <c r="C80" s="6" t="s">
        <v>110</v>
      </c>
      <c r="D80" s="7">
        <v>45026</v>
      </c>
      <c r="E80" s="7">
        <v>45790</v>
      </c>
      <c r="F80" s="7">
        <v>45026</v>
      </c>
      <c r="G80" s="7">
        <v>45790</v>
      </c>
      <c r="H80" s="4">
        <v>0</v>
      </c>
      <c r="I80" s="5">
        <v>0</v>
      </c>
      <c r="J80" s="7">
        <v>0</v>
      </c>
      <c r="K80" s="8">
        <v>0</v>
      </c>
      <c r="L80" s="7">
        <v>2630</v>
      </c>
      <c r="M80" s="8">
        <v>7970.5647800000006</v>
      </c>
      <c r="N80" s="7">
        <v>2466</v>
      </c>
      <c r="O80" s="8">
        <v>16772.001</v>
      </c>
      <c r="P80" s="7">
        <v>0</v>
      </c>
      <c r="Q80" s="8">
        <v>0</v>
      </c>
      <c r="R80" s="7">
        <v>0</v>
      </c>
      <c r="S80" s="8">
        <v>0</v>
      </c>
    </row>
    <row r="81" spans="2:19" x14ac:dyDescent="0.25">
      <c r="B81" s="3">
        <v>35</v>
      </c>
      <c r="C81" s="6" t="s">
        <v>57</v>
      </c>
      <c r="D81" s="7">
        <v>2197500</v>
      </c>
      <c r="E81" s="7">
        <v>21330</v>
      </c>
      <c r="F81" s="7">
        <v>2181031</v>
      </c>
      <c r="G81" s="7">
        <v>21329</v>
      </c>
      <c r="H81" s="7">
        <v>63475</v>
      </c>
      <c r="I81" s="8">
        <v>82580.527238999013</v>
      </c>
      <c r="J81" s="7">
        <v>34</v>
      </c>
      <c r="K81" s="8">
        <v>565.39431999999999</v>
      </c>
      <c r="L81" s="7">
        <v>2076</v>
      </c>
      <c r="M81" s="8">
        <v>13011.852000000001</v>
      </c>
      <c r="N81" s="7">
        <v>0</v>
      </c>
      <c r="O81" s="8">
        <v>0</v>
      </c>
      <c r="P81" s="7">
        <v>15</v>
      </c>
      <c r="Q81" s="8">
        <v>14.5</v>
      </c>
      <c r="R81" s="7">
        <v>0</v>
      </c>
      <c r="S81" s="8">
        <v>0</v>
      </c>
    </row>
    <row r="82" spans="2:19" ht="25.5" x14ac:dyDescent="0.25">
      <c r="B82" s="3">
        <v>36</v>
      </c>
      <c r="C82" s="6" t="s">
        <v>93</v>
      </c>
      <c r="D82" s="7">
        <v>0</v>
      </c>
      <c r="E82" s="7">
        <v>152397</v>
      </c>
      <c r="F82" s="7">
        <v>0</v>
      </c>
      <c r="G82" s="7">
        <v>97046</v>
      </c>
      <c r="H82" s="7">
        <v>0</v>
      </c>
      <c r="I82" s="8">
        <v>0</v>
      </c>
      <c r="J82" s="7">
        <v>0</v>
      </c>
      <c r="K82" s="8">
        <v>0</v>
      </c>
      <c r="L82" s="7">
        <v>387162</v>
      </c>
      <c r="M82" s="8">
        <v>108195.851959999</v>
      </c>
      <c r="N82" s="7">
        <v>243581</v>
      </c>
      <c r="O82" s="8">
        <v>236133.8694</v>
      </c>
      <c r="P82" s="7">
        <v>0</v>
      </c>
      <c r="Q82" s="8">
        <v>0</v>
      </c>
      <c r="R82" s="7">
        <v>0</v>
      </c>
      <c r="S82" s="8">
        <v>0</v>
      </c>
    </row>
    <row r="83" spans="2:19" x14ac:dyDescent="0.25">
      <c r="B83" s="3">
        <v>37</v>
      </c>
      <c r="C83" s="6" t="s">
        <v>58</v>
      </c>
      <c r="D83" s="7">
        <v>0</v>
      </c>
      <c r="E83" s="7">
        <v>58359833</v>
      </c>
      <c r="F83" s="7">
        <v>0</v>
      </c>
      <c r="G83" s="7">
        <v>49098833</v>
      </c>
      <c r="H83" s="7">
        <v>0</v>
      </c>
      <c r="I83" s="8">
        <v>0</v>
      </c>
      <c r="J83" s="7">
        <v>0</v>
      </c>
      <c r="K83" s="8">
        <v>0</v>
      </c>
      <c r="L83" s="7">
        <v>6116707</v>
      </c>
      <c r="M83" s="8">
        <v>1577003.1374600001</v>
      </c>
      <c r="N83" s="7">
        <v>9510</v>
      </c>
      <c r="O83" s="8">
        <v>190884.74900000001</v>
      </c>
      <c r="P83" s="7">
        <v>0</v>
      </c>
      <c r="Q83" s="8">
        <v>0</v>
      </c>
      <c r="R83" s="7">
        <v>0</v>
      </c>
      <c r="S83" s="8">
        <v>0</v>
      </c>
    </row>
    <row r="84" spans="2:19" x14ac:dyDescent="0.25">
      <c r="B84" s="3">
        <v>38</v>
      </c>
      <c r="C84" s="6" t="s">
        <v>121</v>
      </c>
      <c r="D84" s="7">
        <v>0</v>
      </c>
      <c r="E84" s="7">
        <v>4993</v>
      </c>
      <c r="F84" s="7">
        <v>0</v>
      </c>
      <c r="G84" s="7">
        <v>4993</v>
      </c>
      <c r="H84" s="7">
        <v>0</v>
      </c>
      <c r="I84" s="8">
        <v>0</v>
      </c>
      <c r="J84" s="7">
        <v>0</v>
      </c>
      <c r="K84" s="8">
        <v>0</v>
      </c>
      <c r="L84" s="7">
        <v>8381</v>
      </c>
      <c r="M84" s="8">
        <v>5209.0365400000001</v>
      </c>
      <c r="N84" s="7">
        <v>5329</v>
      </c>
      <c r="O84" s="8">
        <v>14798.035199999998</v>
      </c>
      <c r="P84" s="7">
        <v>30</v>
      </c>
      <c r="Q84" s="8">
        <v>36.799999999999997</v>
      </c>
      <c r="R84" s="7">
        <v>0</v>
      </c>
      <c r="S84" s="8">
        <v>0</v>
      </c>
    </row>
    <row r="85" spans="2:19" x14ac:dyDescent="0.25">
      <c r="B85" s="3">
        <v>39</v>
      </c>
      <c r="C85" s="6" t="s">
        <v>94</v>
      </c>
      <c r="D85" s="7">
        <v>0</v>
      </c>
      <c r="E85" s="7">
        <v>1110636</v>
      </c>
      <c r="F85" s="7">
        <v>0</v>
      </c>
      <c r="G85" s="7">
        <v>197290</v>
      </c>
      <c r="H85" s="7">
        <v>0</v>
      </c>
      <c r="I85" s="8">
        <v>0</v>
      </c>
      <c r="J85" s="7">
        <v>0</v>
      </c>
      <c r="K85" s="8">
        <v>0</v>
      </c>
      <c r="L85" s="7">
        <v>1126</v>
      </c>
      <c r="M85" s="8">
        <v>1547.0923899999987</v>
      </c>
      <c r="N85" s="7">
        <v>63146</v>
      </c>
      <c r="O85" s="8">
        <v>65098.43811999949</v>
      </c>
      <c r="P85" s="7">
        <v>0</v>
      </c>
      <c r="Q85" s="8">
        <v>0</v>
      </c>
      <c r="R85" s="7">
        <v>0</v>
      </c>
      <c r="S85" s="8">
        <v>0</v>
      </c>
    </row>
    <row r="86" spans="2:19" x14ac:dyDescent="0.25">
      <c r="B86" s="3">
        <v>40</v>
      </c>
      <c r="C86" s="6" t="s">
        <v>59</v>
      </c>
      <c r="D86" s="7">
        <v>0</v>
      </c>
      <c r="E86" s="7">
        <v>55149</v>
      </c>
      <c r="F86" s="7">
        <v>0</v>
      </c>
      <c r="G86" s="7">
        <v>33792</v>
      </c>
      <c r="H86" s="7">
        <v>0</v>
      </c>
      <c r="I86" s="8">
        <v>0</v>
      </c>
      <c r="J86" s="7">
        <v>0</v>
      </c>
      <c r="K86" s="8">
        <v>0</v>
      </c>
      <c r="L86" s="7">
        <v>238028</v>
      </c>
      <c r="M86" s="8">
        <v>63170.972000000002</v>
      </c>
      <c r="N86" s="7">
        <v>254989</v>
      </c>
      <c r="O86" s="8">
        <v>337107.66593000002</v>
      </c>
      <c r="P86" s="7">
        <v>0</v>
      </c>
      <c r="Q86" s="8">
        <v>0</v>
      </c>
      <c r="R86" s="7">
        <v>1174</v>
      </c>
      <c r="S86" s="8">
        <v>1532.5709999999999</v>
      </c>
    </row>
    <row r="87" spans="2:19" x14ac:dyDescent="0.25">
      <c r="B87" s="3">
        <v>41</v>
      </c>
      <c r="C87" s="6" t="s">
        <v>102</v>
      </c>
      <c r="D87" s="7">
        <v>0</v>
      </c>
      <c r="E87" s="7">
        <v>1902</v>
      </c>
      <c r="F87" s="7">
        <v>0</v>
      </c>
      <c r="G87" s="7">
        <v>1378</v>
      </c>
      <c r="H87" s="7">
        <v>0</v>
      </c>
      <c r="I87" s="8">
        <v>0</v>
      </c>
      <c r="J87" s="7">
        <v>0</v>
      </c>
      <c r="K87" s="8">
        <v>0</v>
      </c>
      <c r="L87" s="7">
        <v>95</v>
      </c>
      <c r="M87" s="8">
        <v>120.09860999999999</v>
      </c>
      <c r="N87" s="7">
        <v>0</v>
      </c>
      <c r="O87" s="8">
        <v>0</v>
      </c>
      <c r="P87" s="7">
        <v>0</v>
      </c>
      <c r="Q87" s="8">
        <v>0</v>
      </c>
      <c r="R87" s="7">
        <v>0</v>
      </c>
      <c r="S87" s="8">
        <v>0</v>
      </c>
    </row>
    <row r="88" spans="2:19" x14ac:dyDescent="0.25">
      <c r="B88" s="3">
        <v>42</v>
      </c>
      <c r="C88" s="6" t="s">
        <v>96</v>
      </c>
      <c r="D88" s="7">
        <v>25223</v>
      </c>
      <c r="E88" s="7">
        <v>3515580</v>
      </c>
      <c r="F88" s="7">
        <v>25223</v>
      </c>
      <c r="G88" s="7">
        <v>492595</v>
      </c>
      <c r="H88" s="7">
        <v>16839</v>
      </c>
      <c r="I88" s="8">
        <v>49971.235639999999</v>
      </c>
      <c r="J88" s="7">
        <v>0</v>
      </c>
      <c r="K88" s="8">
        <v>0</v>
      </c>
      <c r="L88" s="7">
        <v>52739</v>
      </c>
      <c r="M88" s="8">
        <v>70911.949370004004</v>
      </c>
      <c r="N88" s="7">
        <v>433911</v>
      </c>
      <c r="O88" s="8">
        <v>2917441.76222998</v>
      </c>
      <c r="P88" s="7">
        <v>0</v>
      </c>
      <c r="Q88" s="8">
        <v>0</v>
      </c>
      <c r="R88" s="7">
        <v>0</v>
      </c>
      <c r="S88" s="8">
        <v>0</v>
      </c>
    </row>
    <row r="89" spans="2:19" x14ac:dyDescent="0.25">
      <c r="B89" s="3">
        <v>43</v>
      </c>
      <c r="C89" s="6" t="s">
        <v>60</v>
      </c>
      <c r="D89" s="7">
        <v>5591379</v>
      </c>
      <c r="E89" s="7">
        <v>15988</v>
      </c>
      <c r="F89" s="7">
        <v>2132991</v>
      </c>
      <c r="G89" s="7">
        <v>8473</v>
      </c>
      <c r="H89" s="7">
        <v>911174</v>
      </c>
      <c r="I89" s="8">
        <v>4655640.5622424902</v>
      </c>
      <c r="J89" s="7">
        <v>104997</v>
      </c>
      <c r="K89" s="8">
        <v>1126674.8810000001</v>
      </c>
      <c r="L89" s="7">
        <v>36603</v>
      </c>
      <c r="M89" s="8">
        <v>31342.449780000003</v>
      </c>
      <c r="N89" s="7">
        <v>5132</v>
      </c>
      <c r="O89" s="8">
        <v>5877.9634800000003</v>
      </c>
      <c r="P89" s="7">
        <v>2497</v>
      </c>
      <c r="Q89" s="8">
        <v>2732.0949999999998</v>
      </c>
      <c r="R89" s="7">
        <v>0</v>
      </c>
      <c r="S89" s="8">
        <v>0</v>
      </c>
    </row>
    <row r="90" spans="2:19" x14ac:dyDescent="0.25">
      <c r="B90" s="3">
        <v>44</v>
      </c>
      <c r="C90" s="6" t="s">
        <v>61</v>
      </c>
      <c r="D90" s="7">
        <v>0</v>
      </c>
      <c r="E90" s="7">
        <v>3531775</v>
      </c>
      <c r="F90" s="7">
        <v>0</v>
      </c>
      <c r="G90" s="7">
        <v>133148</v>
      </c>
      <c r="H90" s="7">
        <v>0</v>
      </c>
      <c r="I90" s="8">
        <v>0</v>
      </c>
      <c r="J90" s="7">
        <v>0</v>
      </c>
      <c r="K90" s="8">
        <v>0</v>
      </c>
      <c r="L90" s="7">
        <v>147937</v>
      </c>
      <c r="M90" s="8">
        <v>66342.252590000004</v>
      </c>
      <c r="N90" s="7">
        <v>162</v>
      </c>
      <c r="O90" s="8">
        <v>263.52999999999997</v>
      </c>
      <c r="P90" s="7">
        <v>0</v>
      </c>
      <c r="Q90" s="8">
        <v>0</v>
      </c>
      <c r="R90" s="7">
        <v>0</v>
      </c>
      <c r="S90" s="8">
        <v>0</v>
      </c>
    </row>
    <row r="91" spans="2:19" x14ac:dyDescent="0.25">
      <c r="B91" s="3">
        <v>45</v>
      </c>
      <c r="C91" s="6" t="s">
        <v>97</v>
      </c>
      <c r="D91" s="7">
        <v>0</v>
      </c>
      <c r="E91" s="7">
        <v>18567742</v>
      </c>
      <c r="F91" s="7">
        <v>0</v>
      </c>
      <c r="G91" s="7">
        <v>10555865</v>
      </c>
      <c r="H91" s="7">
        <v>0</v>
      </c>
      <c r="I91" s="8">
        <v>0</v>
      </c>
      <c r="J91" s="7">
        <v>0</v>
      </c>
      <c r="K91" s="8">
        <v>0</v>
      </c>
      <c r="L91" s="7">
        <v>149922345</v>
      </c>
      <c r="M91" s="8">
        <v>13946771.816500001</v>
      </c>
      <c r="N91" s="7">
        <v>69497527</v>
      </c>
      <c r="O91" s="8">
        <v>15657619.792709999</v>
      </c>
      <c r="P91" s="7">
        <v>13605</v>
      </c>
      <c r="Q91" s="8">
        <v>15332.5</v>
      </c>
      <c r="R91" s="7">
        <v>0</v>
      </c>
      <c r="S91" s="8">
        <v>0</v>
      </c>
    </row>
    <row r="92" spans="2:19" x14ac:dyDescent="0.25">
      <c r="B92" s="3">
        <v>46</v>
      </c>
      <c r="C92" s="6" t="s">
        <v>120</v>
      </c>
      <c r="D92" s="7">
        <v>0</v>
      </c>
      <c r="E92" s="7">
        <v>1691</v>
      </c>
      <c r="F92" s="7">
        <v>0</v>
      </c>
      <c r="G92" s="7">
        <v>1691</v>
      </c>
      <c r="H92" s="7">
        <v>0</v>
      </c>
      <c r="I92" s="8">
        <v>0</v>
      </c>
      <c r="J92" s="7">
        <v>0</v>
      </c>
      <c r="K92" s="8">
        <v>0</v>
      </c>
      <c r="L92" s="7">
        <v>41334</v>
      </c>
      <c r="M92" s="8">
        <v>16684.857050000002</v>
      </c>
      <c r="N92" s="7">
        <v>1</v>
      </c>
      <c r="O92" s="8">
        <v>3.5</v>
      </c>
      <c r="P92" s="7">
        <v>0</v>
      </c>
      <c r="Q92" s="8">
        <v>0</v>
      </c>
      <c r="R92" s="7">
        <v>0</v>
      </c>
      <c r="S92" s="8">
        <v>0</v>
      </c>
    </row>
    <row r="93" spans="2:19" ht="38.25" x14ac:dyDescent="0.25">
      <c r="B93" s="3">
        <v>47</v>
      </c>
      <c r="C93" s="6" t="s">
        <v>98</v>
      </c>
      <c r="D93" s="7">
        <v>0</v>
      </c>
      <c r="E93" s="7">
        <v>9</v>
      </c>
      <c r="F93" s="7">
        <v>0</v>
      </c>
      <c r="G93" s="7">
        <v>9</v>
      </c>
      <c r="H93" s="7">
        <v>0</v>
      </c>
      <c r="I93" s="8">
        <v>0</v>
      </c>
      <c r="J93" s="7">
        <v>0</v>
      </c>
      <c r="K93" s="8">
        <v>0</v>
      </c>
      <c r="L93" s="7">
        <v>0</v>
      </c>
      <c r="M93" s="8">
        <v>0</v>
      </c>
      <c r="N93" s="7">
        <v>0</v>
      </c>
      <c r="O93" s="8">
        <v>0</v>
      </c>
      <c r="P93" s="7">
        <v>0</v>
      </c>
      <c r="Q93" s="8">
        <v>0</v>
      </c>
      <c r="R93" s="7">
        <v>0</v>
      </c>
      <c r="S93" s="8">
        <v>0</v>
      </c>
    </row>
    <row r="94" spans="2:19" ht="38.25" x14ac:dyDescent="0.25">
      <c r="B94" s="3">
        <v>48</v>
      </c>
      <c r="C94" s="6" t="s">
        <v>118</v>
      </c>
      <c r="D94" s="7">
        <v>0</v>
      </c>
      <c r="E94" s="7">
        <v>3737</v>
      </c>
      <c r="F94" s="7">
        <v>0</v>
      </c>
      <c r="G94" s="7">
        <v>3444</v>
      </c>
      <c r="H94" s="7">
        <v>0</v>
      </c>
      <c r="I94" s="8">
        <v>0</v>
      </c>
      <c r="J94" s="7">
        <v>0</v>
      </c>
      <c r="K94" s="8">
        <v>0</v>
      </c>
      <c r="L94" s="7">
        <v>5131</v>
      </c>
      <c r="M94" s="8">
        <v>1593.9499699999999</v>
      </c>
      <c r="N94" s="7">
        <v>4287</v>
      </c>
      <c r="O94" s="8">
        <v>9691.0896699999994</v>
      </c>
      <c r="P94" s="7">
        <v>0</v>
      </c>
      <c r="Q94" s="8">
        <v>0</v>
      </c>
      <c r="R94" s="7">
        <v>0</v>
      </c>
      <c r="S94" s="8">
        <v>0</v>
      </c>
    </row>
    <row r="95" spans="2:19" x14ac:dyDescent="0.25">
      <c r="B95" s="22" t="s">
        <v>62</v>
      </c>
      <c r="C95" s="22"/>
      <c r="D95" s="9">
        <f t="shared" ref="D95:S95" si="0">SUM(D8:D45,D47:D94)</f>
        <v>465740290</v>
      </c>
      <c r="E95" s="9">
        <f t="shared" si="0"/>
        <v>1780343566</v>
      </c>
      <c r="F95" s="9">
        <f t="shared" si="0"/>
        <v>232000061</v>
      </c>
      <c r="G95" s="9">
        <f t="shared" si="0"/>
        <v>1119391478</v>
      </c>
      <c r="H95" s="9">
        <f t="shared" si="0"/>
        <v>190062882</v>
      </c>
      <c r="I95" s="9">
        <f t="shared" si="0"/>
        <v>63401177.288842827</v>
      </c>
      <c r="J95" s="9">
        <f t="shared" si="0"/>
        <v>305985</v>
      </c>
      <c r="K95" s="9">
        <f t="shared" si="0"/>
        <v>1846892.162633366</v>
      </c>
      <c r="L95" s="9">
        <f t="shared" si="0"/>
        <v>610407180</v>
      </c>
      <c r="M95" s="9">
        <f t="shared" si="0"/>
        <v>131184545.07557258</v>
      </c>
      <c r="N95" s="9">
        <f t="shared" si="0"/>
        <v>88002704</v>
      </c>
      <c r="O95" s="9">
        <f t="shared" si="0"/>
        <v>78515881.231040001</v>
      </c>
      <c r="P95" s="9">
        <f t="shared" si="0"/>
        <v>1718615</v>
      </c>
      <c r="Q95" s="9">
        <f t="shared" si="0"/>
        <v>8797363.3075000029</v>
      </c>
      <c r="R95" s="9">
        <f t="shared" si="0"/>
        <v>3176</v>
      </c>
      <c r="S95" s="9">
        <f t="shared" si="0"/>
        <v>4145.0020000000004</v>
      </c>
    </row>
    <row r="96" spans="2:19" x14ac:dyDescent="0.25">
      <c r="B96" s="15"/>
      <c r="C96" s="15"/>
      <c r="D96" s="9"/>
      <c r="E96" s="9"/>
      <c r="F96" s="9"/>
      <c r="G96" s="9"/>
      <c r="H96" s="16"/>
      <c r="I96" s="17"/>
      <c r="J96" s="9"/>
      <c r="K96" s="18"/>
      <c r="L96" s="9"/>
      <c r="M96" s="18"/>
      <c r="N96" s="9"/>
      <c r="O96" s="18"/>
      <c r="P96" s="9"/>
      <c r="Q96" s="18"/>
      <c r="R96" s="9"/>
      <c r="S96" s="18"/>
    </row>
    <row r="97" spans="2:19" ht="15" customHeight="1" x14ac:dyDescent="0.25">
      <c r="B97" s="20" t="s">
        <v>119</v>
      </c>
      <c r="C97" s="20"/>
      <c r="D97" s="20"/>
      <c r="E97" s="20"/>
      <c r="F97" s="20"/>
      <c r="G97" s="20"/>
      <c r="H97" s="20"/>
      <c r="I97" s="20"/>
      <c r="J97" s="20"/>
      <c r="K97" s="20"/>
      <c r="L97" s="20"/>
      <c r="M97" s="20"/>
      <c r="N97" s="20"/>
      <c r="O97" s="20"/>
      <c r="P97" s="20"/>
      <c r="Q97" s="20"/>
      <c r="R97" s="20"/>
      <c r="S97" s="20"/>
    </row>
    <row r="98" spans="2:19" x14ac:dyDescent="0.25">
      <c r="B98" s="10">
        <v>1</v>
      </c>
      <c r="C98" s="21" t="s">
        <v>63</v>
      </c>
      <c r="D98" s="21"/>
      <c r="E98" s="21"/>
      <c r="F98" s="21"/>
      <c r="G98" s="21"/>
      <c r="H98" s="21"/>
      <c r="I98" s="21"/>
      <c r="J98" s="21"/>
      <c r="K98" s="21"/>
      <c r="L98" s="21"/>
      <c r="M98" s="21"/>
      <c r="N98" s="21"/>
      <c r="O98" s="21"/>
      <c r="P98" s="21"/>
      <c r="Q98" s="21"/>
      <c r="R98" s="21"/>
      <c r="S98" s="21"/>
    </row>
    <row r="99" spans="2:19" ht="14.45" customHeight="1" x14ac:dyDescent="0.25">
      <c r="B99" s="10">
        <v>2</v>
      </c>
      <c r="C99" s="21" t="s">
        <v>64</v>
      </c>
      <c r="D99" s="21"/>
      <c r="E99" s="21"/>
      <c r="F99" s="21"/>
      <c r="G99" s="21"/>
      <c r="H99" s="21"/>
      <c r="I99" s="21"/>
      <c r="J99" s="21"/>
      <c r="K99" s="21"/>
      <c r="L99" s="21"/>
      <c r="M99" s="21"/>
      <c r="N99" s="21"/>
      <c r="O99" s="21"/>
      <c r="P99" s="21"/>
      <c r="Q99" s="21"/>
      <c r="R99" s="21"/>
      <c r="S99" s="21"/>
    </row>
    <row r="100" spans="2:19" ht="14.45" customHeight="1" x14ac:dyDescent="0.25">
      <c r="B100" s="10">
        <v>3</v>
      </c>
      <c r="C100" s="21" t="s">
        <v>115</v>
      </c>
      <c r="D100" s="21"/>
      <c r="E100" s="21"/>
      <c r="F100" s="21"/>
      <c r="G100" s="21"/>
      <c r="H100" s="21"/>
      <c r="I100" s="21"/>
      <c r="J100" s="21"/>
      <c r="K100" s="21"/>
      <c r="L100" s="21"/>
      <c r="M100" s="21"/>
      <c r="N100" s="21"/>
      <c r="O100" s="21"/>
      <c r="P100" s="21"/>
      <c r="Q100" s="21"/>
      <c r="R100" s="21"/>
      <c r="S100" s="21"/>
    </row>
    <row r="101" spans="2:19" ht="14.45" customHeight="1" x14ac:dyDescent="0.25">
      <c r="B101" s="10">
        <v>4</v>
      </c>
      <c r="C101" s="21" t="s">
        <v>116</v>
      </c>
      <c r="D101" s="21"/>
      <c r="E101" s="21"/>
      <c r="F101" s="21"/>
      <c r="G101" s="21"/>
      <c r="H101" s="21"/>
      <c r="I101" s="21"/>
      <c r="J101" s="21"/>
      <c r="K101" s="21"/>
      <c r="L101" s="21"/>
      <c r="M101" s="21"/>
      <c r="N101" s="21"/>
      <c r="O101" s="21"/>
      <c r="P101" s="21"/>
      <c r="Q101" s="21"/>
      <c r="R101" s="21"/>
      <c r="S101" s="21"/>
    </row>
    <row r="102" spans="2:19" ht="14.45" customHeight="1" x14ac:dyDescent="0.25">
      <c r="B102" s="10">
        <v>5</v>
      </c>
      <c r="C102" s="21" t="s">
        <v>65</v>
      </c>
      <c r="D102" s="21"/>
      <c r="E102" s="21"/>
      <c r="F102" s="21"/>
      <c r="G102" s="21"/>
      <c r="H102" s="21"/>
      <c r="I102" s="21"/>
      <c r="J102" s="21"/>
      <c r="K102" s="21"/>
      <c r="L102" s="21"/>
      <c r="M102" s="21"/>
      <c r="N102" s="21"/>
      <c r="O102" s="21"/>
      <c r="P102" s="21"/>
      <c r="Q102" s="21"/>
      <c r="R102" s="21"/>
      <c r="S102" s="21"/>
    </row>
    <row r="103" spans="2:19" ht="14.45" customHeight="1" x14ac:dyDescent="0.25">
      <c r="B103" s="10">
        <v>6</v>
      </c>
      <c r="C103" s="21" t="s">
        <v>66</v>
      </c>
      <c r="D103" s="21"/>
      <c r="E103" s="21"/>
      <c r="F103" s="21"/>
      <c r="G103" s="21"/>
      <c r="H103" s="21"/>
      <c r="I103" s="21"/>
      <c r="J103" s="21"/>
      <c r="K103" s="21"/>
      <c r="L103" s="21"/>
      <c r="M103" s="21"/>
      <c r="N103" s="21"/>
      <c r="O103" s="21"/>
      <c r="P103" s="21"/>
      <c r="Q103" s="21"/>
      <c r="R103" s="21"/>
      <c r="S103" s="21"/>
    </row>
    <row r="104" spans="2:19" ht="14.45" customHeight="1" x14ac:dyDescent="0.25">
      <c r="B104" s="10">
        <v>7</v>
      </c>
      <c r="C104" s="21" t="s">
        <v>67</v>
      </c>
      <c r="D104" s="21"/>
      <c r="E104" s="21"/>
      <c r="F104" s="21"/>
      <c r="G104" s="21"/>
      <c r="H104" s="21"/>
      <c r="I104" s="21"/>
      <c r="J104" s="21"/>
      <c r="K104" s="21"/>
      <c r="L104" s="21"/>
      <c r="M104" s="21"/>
      <c r="N104" s="21"/>
      <c r="O104" s="21"/>
      <c r="P104" s="21"/>
      <c r="Q104" s="21"/>
      <c r="R104" s="21"/>
      <c r="S104" s="21"/>
    </row>
    <row r="105" spans="2:19" ht="14.45" customHeight="1" x14ac:dyDescent="0.25">
      <c r="B105" s="10">
        <v>8</v>
      </c>
      <c r="C105" s="21" t="s">
        <v>68</v>
      </c>
      <c r="D105" s="21"/>
      <c r="E105" s="21"/>
      <c r="F105" s="21"/>
      <c r="G105" s="21"/>
      <c r="H105" s="21"/>
      <c r="I105" s="21"/>
      <c r="J105" s="21"/>
      <c r="K105" s="21"/>
      <c r="L105" s="21"/>
      <c r="M105" s="21"/>
      <c r="N105" s="21"/>
      <c r="O105" s="21"/>
      <c r="P105" s="21"/>
      <c r="Q105" s="21"/>
      <c r="R105" s="21"/>
      <c r="S105" s="21"/>
    </row>
    <row r="106" spans="2:19" ht="14.45" customHeight="1" x14ac:dyDescent="0.25">
      <c r="B106" s="10">
        <v>9</v>
      </c>
      <c r="C106" s="21" t="s">
        <v>69</v>
      </c>
      <c r="D106" s="21"/>
      <c r="E106" s="21"/>
      <c r="F106" s="21"/>
      <c r="G106" s="21"/>
      <c r="H106" s="21"/>
      <c r="I106" s="21"/>
      <c r="J106" s="21"/>
      <c r="K106" s="21"/>
      <c r="L106" s="21"/>
      <c r="M106" s="21"/>
      <c r="N106" s="21"/>
      <c r="O106" s="21"/>
      <c r="P106" s="21"/>
      <c r="Q106" s="21"/>
      <c r="R106" s="21"/>
      <c r="S106" s="21"/>
    </row>
    <row r="107" spans="2:19" ht="14.45" customHeight="1" x14ac:dyDescent="0.25">
      <c r="B107" s="10">
        <v>10</v>
      </c>
      <c r="C107" s="21" t="s">
        <v>70</v>
      </c>
      <c r="D107" s="21"/>
      <c r="E107" s="21"/>
      <c r="F107" s="21"/>
      <c r="G107" s="21"/>
      <c r="H107" s="21"/>
      <c r="I107" s="21"/>
      <c r="J107" s="21"/>
      <c r="K107" s="21"/>
      <c r="L107" s="21"/>
      <c r="M107" s="21"/>
      <c r="N107" s="21"/>
      <c r="O107" s="21"/>
      <c r="P107" s="21"/>
      <c r="Q107" s="21"/>
      <c r="R107" s="21"/>
      <c r="S107" s="21"/>
    </row>
    <row r="108" spans="2:19" ht="14.45" customHeight="1" x14ac:dyDescent="0.25">
      <c r="B108" s="10">
        <v>11</v>
      </c>
      <c r="C108" s="21" t="s">
        <v>71</v>
      </c>
      <c r="D108" s="21"/>
      <c r="E108" s="21"/>
      <c r="F108" s="21"/>
      <c r="G108" s="21"/>
      <c r="H108" s="21"/>
      <c r="I108" s="21"/>
      <c r="J108" s="21"/>
      <c r="K108" s="21"/>
      <c r="L108" s="21"/>
      <c r="M108" s="21"/>
      <c r="N108" s="21"/>
      <c r="O108" s="21"/>
      <c r="P108" s="21"/>
      <c r="Q108" s="21"/>
      <c r="R108" s="21"/>
      <c r="S108" s="21"/>
    </row>
    <row r="109" spans="2:19" ht="14.45" customHeight="1" x14ac:dyDescent="0.25">
      <c r="B109" s="10">
        <v>12</v>
      </c>
      <c r="C109" s="21" t="s">
        <v>72</v>
      </c>
      <c r="D109" s="21"/>
      <c r="E109" s="21"/>
      <c r="F109" s="21"/>
      <c r="G109" s="21"/>
      <c r="H109" s="21"/>
      <c r="I109" s="21"/>
      <c r="J109" s="21"/>
      <c r="K109" s="21"/>
      <c r="L109" s="21"/>
      <c r="M109" s="21"/>
      <c r="N109" s="21"/>
      <c r="O109" s="21"/>
      <c r="P109" s="21"/>
      <c r="Q109" s="21"/>
      <c r="R109" s="21"/>
      <c r="S109" s="21"/>
    </row>
    <row r="110" spans="2:19" ht="14.45" customHeight="1" x14ac:dyDescent="0.25">
      <c r="B110" s="10">
        <v>13</v>
      </c>
      <c r="C110" s="21" t="s">
        <v>73</v>
      </c>
      <c r="D110" s="21"/>
      <c r="E110" s="21"/>
      <c r="F110" s="21"/>
      <c r="G110" s="21"/>
      <c r="H110" s="21"/>
      <c r="I110" s="21"/>
      <c r="J110" s="21"/>
      <c r="K110" s="21"/>
      <c r="L110" s="21"/>
      <c r="M110" s="21"/>
      <c r="N110" s="21"/>
      <c r="O110" s="21"/>
      <c r="P110" s="21"/>
      <c r="Q110" s="21"/>
      <c r="R110" s="21"/>
      <c r="S110" s="21"/>
    </row>
    <row r="111" spans="2:19" ht="14.45" customHeight="1" x14ac:dyDescent="0.25">
      <c r="B111" s="10">
        <v>14</v>
      </c>
      <c r="C111" s="21" t="s">
        <v>74</v>
      </c>
      <c r="D111" s="21"/>
      <c r="E111" s="21"/>
      <c r="F111" s="21"/>
      <c r="G111" s="21"/>
      <c r="H111" s="21"/>
      <c r="I111" s="21"/>
      <c r="J111" s="21"/>
      <c r="K111" s="21"/>
      <c r="L111" s="21"/>
      <c r="M111" s="21"/>
      <c r="N111" s="21"/>
      <c r="O111" s="21"/>
      <c r="P111" s="21"/>
      <c r="Q111" s="21"/>
      <c r="R111" s="21"/>
      <c r="S111" s="21"/>
    </row>
    <row r="112" spans="2:19" ht="14.45" customHeight="1" x14ac:dyDescent="0.25">
      <c r="B112" s="10">
        <v>15</v>
      </c>
      <c r="C112" s="21" t="s">
        <v>75</v>
      </c>
      <c r="D112" s="21"/>
      <c r="E112" s="21"/>
      <c r="F112" s="21"/>
      <c r="G112" s="21"/>
      <c r="H112" s="21"/>
      <c r="I112" s="21"/>
      <c r="J112" s="21"/>
      <c r="K112" s="21"/>
      <c r="L112" s="21"/>
      <c r="M112" s="21"/>
      <c r="N112" s="21"/>
      <c r="O112" s="21"/>
      <c r="P112" s="21"/>
      <c r="Q112" s="21"/>
      <c r="R112" s="21"/>
      <c r="S112" s="21"/>
    </row>
    <row r="113" spans="2:19" ht="14.45" customHeight="1" x14ac:dyDescent="0.25">
      <c r="B113" s="10">
        <v>16</v>
      </c>
      <c r="C113" s="21" t="s">
        <v>76</v>
      </c>
      <c r="D113" s="21"/>
      <c r="E113" s="21"/>
      <c r="F113" s="21"/>
      <c r="G113" s="21"/>
      <c r="H113" s="21"/>
      <c r="I113" s="21"/>
      <c r="J113" s="21"/>
      <c r="K113" s="21"/>
      <c r="L113" s="21"/>
      <c r="M113" s="21"/>
      <c r="N113" s="21"/>
      <c r="O113" s="21"/>
      <c r="P113" s="21"/>
      <c r="Q113" s="21"/>
      <c r="R113" s="21"/>
      <c r="S113" s="21"/>
    </row>
    <row r="114" spans="2:19" x14ac:dyDescent="0.25">
      <c r="I114" s="12"/>
      <c r="K114" s="12"/>
      <c r="M114" s="12"/>
      <c r="O114" s="12"/>
      <c r="Q114" s="12"/>
      <c r="S114" s="12"/>
    </row>
    <row r="115" spans="2:19" x14ac:dyDescent="0.25">
      <c r="D115" s="13"/>
      <c r="E115" s="13"/>
      <c r="F115" s="13"/>
      <c r="G115" s="13"/>
      <c r="H115" s="13"/>
      <c r="I115" s="13"/>
      <c r="J115" s="13"/>
      <c r="K115" s="13"/>
      <c r="L115" s="13"/>
      <c r="M115" s="13"/>
      <c r="N115" s="13"/>
      <c r="O115" s="13"/>
      <c r="P115" s="13"/>
      <c r="Q115" s="13"/>
      <c r="R115" s="13"/>
      <c r="S115" s="13"/>
    </row>
    <row r="116" spans="2:19" x14ac:dyDescent="0.25">
      <c r="I116" s="12"/>
      <c r="K116" s="12"/>
      <c r="M116" s="12"/>
      <c r="O116" s="12"/>
      <c r="Q116" s="12"/>
      <c r="S116" s="12"/>
    </row>
    <row r="117" spans="2:19" x14ac:dyDescent="0.25">
      <c r="I117" s="12"/>
      <c r="K117" s="12"/>
      <c r="M117" s="12"/>
      <c r="O117" s="12"/>
      <c r="Q117" s="12"/>
      <c r="S117" s="12"/>
    </row>
    <row r="118" spans="2:19" x14ac:dyDescent="0.25">
      <c r="I118" s="12"/>
      <c r="K118" s="12"/>
      <c r="M118" s="12"/>
      <c r="O118" s="12"/>
      <c r="Q118" s="12"/>
      <c r="S118" s="12"/>
    </row>
    <row r="119" spans="2:19" x14ac:dyDescent="0.25">
      <c r="I119" s="12"/>
      <c r="K119" s="12"/>
      <c r="M119" s="12"/>
      <c r="O119" s="12"/>
      <c r="Q119" s="12"/>
      <c r="S119" s="12"/>
    </row>
    <row r="120" spans="2:19" x14ac:dyDescent="0.25">
      <c r="I120" s="12"/>
      <c r="K120" s="12"/>
      <c r="M120" s="12"/>
      <c r="O120" s="12"/>
      <c r="Q120" s="12"/>
      <c r="S120" s="12"/>
    </row>
    <row r="121" spans="2:19" x14ac:dyDescent="0.25">
      <c r="I121" s="12"/>
      <c r="K121" s="12"/>
      <c r="M121" s="12"/>
      <c r="O121" s="12"/>
      <c r="Q121" s="12"/>
      <c r="S121" s="12"/>
    </row>
    <row r="122" spans="2:19" x14ac:dyDescent="0.25">
      <c r="I122" s="12"/>
      <c r="K122" s="12"/>
      <c r="M122" s="12"/>
      <c r="O122" s="12"/>
      <c r="Q122" s="12"/>
      <c r="S122" s="12"/>
    </row>
    <row r="123" spans="2:19" x14ac:dyDescent="0.25">
      <c r="I123" s="12"/>
      <c r="K123" s="12"/>
      <c r="M123" s="12"/>
      <c r="O123" s="12"/>
      <c r="Q123" s="12"/>
      <c r="S123" s="12"/>
    </row>
    <row r="124" spans="2:19" x14ac:dyDescent="0.25">
      <c r="I124" s="12"/>
      <c r="K124" s="12"/>
      <c r="M124" s="12"/>
      <c r="O124" s="12"/>
      <c r="Q124" s="12"/>
      <c r="S124" s="12"/>
    </row>
    <row r="125" spans="2:19" x14ac:dyDescent="0.25">
      <c r="I125" s="12"/>
      <c r="K125" s="12"/>
      <c r="M125" s="12"/>
      <c r="O125" s="12"/>
      <c r="Q125" s="12"/>
      <c r="S125" s="12"/>
    </row>
    <row r="126" spans="2:19" x14ac:dyDescent="0.25">
      <c r="I126" s="12"/>
      <c r="K126" s="12"/>
      <c r="M126" s="12"/>
      <c r="O126" s="12"/>
      <c r="Q126" s="12"/>
      <c r="S126" s="12"/>
    </row>
    <row r="127" spans="2:19" x14ac:dyDescent="0.25">
      <c r="I127" s="12"/>
      <c r="K127" s="12"/>
      <c r="M127" s="12"/>
      <c r="O127" s="12"/>
      <c r="Q127" s="12"/>
      <c r="S127" s="12"/>
    </row>
    <row r="128" spans="2:19" x14ac:dyDescent="0.25">
      <c r="I128" s="12"/>
      <c r="K128" s="12"/>
      <c r="M128" s="12"/>
      <c r="O128" s="12"/>
      <c r="Q128" s="12"/>
      <c r="S128" s="12"/>
    </row>
    <row r="129" spans="9:19" x14ac:dyDescent="0.25">
      <c r="I129" s="12"/>
      <c r="K129" s="12"/>
      <c r="M129" s="12"/>
      <c r="O129" s="12"/>
      <c r="Q129" s="12"/>
      <c r="S129" s="12"/>
    </row>
    <row r="130" spans="9:19" x14ac:dyDescent="0.25">
      <c r="I130" s="12"/>
      <c r="K130" s="12"/>
      <c r="M130" s="12"/>
      <c r="O130" s="12"/>
      <c r="Q130" s="12"/>
      <c r="S130" s="12"/>
    </row>
  </sheetData>
  <mergeCells count="35">
    <mergeCell ref="C2:C5"/>
    <mergeCell ref="D2:E4"/>
    <mergeCell ref="H2:O2"/>
    <mergeCell ref="P2:S2"/>
    <mergeCell ref="H3:K3"/>
    <mergeCell ref="C112:S112"/>
    <mergeCell ref="C113:S113"/>
    <mergeCell ref="C111:S111"/>
    <mergeCell ref="B95:C95"/>
    <mergeCell ref="L4:M4"/>
    <mergeCell ref="N4:O4"/>
    <mergeCell ref="P4:Q4"/>
    <mergeCell ref="B7:C7"/>
    <mergeCell ref="B46:C46"/>
    <mergeCell ref="F2:G4"/>
    <mergeCell ref="L3:O3"/>
    <mergeCell ref="P3:S3"/>
    <mergeCell ref="H4:I4"/>
    <mergeCell ref="J4:K4"/>
    <mergeCell ref="R4:S4"/>
    <mergeCell ref="B2:B5"/>
    <mergeCell ref="B97:S97"/>
    <mergeCell ref="C107:S107"/>
    <mergeCell ref="C108:S108"/>
    <mergeCell ref="C109:S109"/>
    <mergeCell ref="C110:S110"/>
    <mergeCell ref="C106:S106"/>
    <mergeCell ref="C98:S98"/>
    <mergeCell ref="C99:S99"/>
    <mergeCell ref="C100:S100"/>
    <mergeCell ref="C101:S101"/>
    <mergeCell ref="C102:S102"/>
    <mergeCell ref="C103:S103"/>
    <mergeCell ref="C104:S104"/>
    <mergeCell ref="C105:S105"/>
  </mergeCells>
  <pageMargins left="3.937007874015748E-2" right="3.937007874015748E-2" top="7.874015748031496E-2" bottom="3.937007874015748E-2" header="3.937007874015748E-2" footer="3.937007874015748E-2"/>
  <pageSetup scale="53"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Manish</cp:lastModifiedBy>
  <cp:lastPrinted>2026-07-23T12:14:02Z</cp:lastPrinted>
  <dcterms:created xsi:type="dcterms:W3CDTF">2023-11-16T10:57:20Z</dcterms:created>
  <dcterms:modified xsi:type="dcterms:W3CDTF">2026-08-25T07:32:44Z</dcterms:modified>
</cp:coreProperties>
</file>