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Nitin Bhoir\2026\Apr.2026\24.04.2026\Revised PPI Statistics for Feb 2026\Eng\"/>
    </mc:Choice>
  </mc:AlternateContent>
  <xr:revisionPtr revIDLastSave="0" documentId="13_ncr:1_{8B261521-0FCC-4A8B-B240-13CC04972617}" xr6:coauthVersionLast="47" xr6:coauthVersionMax="47" xr10:uidLastSave="{00000000-0000-0000-0000-000000000000}"/>
  <bookViews>
    <workbookView xWindow="-120" yWindow="-120" windowWidth="29040" windowHeight="15720" xr2:uid="{00000000-000D-0000-FFFF-FFFF00000000}"/>
  </bookViews>
  <sheets>
    <sheet name="PPI Statistics" sheetId="1" r:id="rId1"/>
  </sheets>
  <definedNames>
    <definedName name="_xlnm._FilterDatabase" localSheetId="0" hidden="1">'PPI Statistics'!$B$7:$S$7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4" i="1" l="1"/>
  <c r="F94" i="1"/>
  <c r="G94" i="1"/>
  <c r="H94" i="1"/>
  <c r="I94" i="1"/>
  <c r="J94" i="1"/>
  <c r="K94" i="1"/>
  <c r="L94" i="1"/>
  <c r="M94" i="1"/>
  <c r="N94" i="1"/>
  <c r="O94" i="1"/>
  <c r="P94" i="1"/>
  <c r="Q94" i="1"/>
  <c r="R94" i="1"/>
  <c r="S94" i="1"/>
  <c r="D94" i="1"/>
</calcChain>
</file>

<file path=xl/sharedStrings.xml><?xml version="1.0" encoding="utf-8"?>
<sst xmlns="http://schemas.openxmlformats.org/spreadsheetml/2006/main" count="136" uniqueCount="123">
  <si>
    <t xml:space="preserve">Sr No. </t>
  </si>
  <si>
    <t>Entity Name</t>
  </si>
  <si>
    <t>Cash Withdrawal Transactions (during the month)</t>
  </si>
  <si>
    <t xml:space="preserve">PPI Cards </t>
  </si>
  <si>
    <t>PPI Wallets</t>
  </si>
  <si>
    <t>PPI Cards</t>
  </si>
  <si>
    <t>Purchase of G &amp; S</t>
  </si>
  <si>
    <t>Fund Transfer</t>
  </si>
  <si>
    <t>at ATM</t>
  </si>
  <si>
    <t>at POS</t>
  </si>
  <si>
    <t>PPI Cards (in actuals)</t>
  </si>
  <si>
    <t>PPI Wallets (in actuals)</t>
  </si>
  <si>
    <t xml:space="preserve"> Volume (Actual)</t>
  </si>
  <si>
    <t xml:space="preserve"> Value (In Rs'000)</t>
  </si>
  <si>
    <t>Banks</t>
  </si>
  <si>
    <t>A U Small Finance Bank Limited</t>
  </si>
  <si>
    <t>Axis Bank Limited</t>
  </si>
  <si>
    <t>Bank of India</t>
  </si>
  <si>
    <t>CANARA BANK</t>
  </si>
  <si>
    <t>City Union Bank Limited</t>
  </si>
  <si>
    <t>Equitas Small Finance Bank Limited</t>
  </si>
  <si>
    <t>Fino Payments Bank Limited</t>
  </si>
  <si>
    <t>HDFC Bank Limited</t>
  </si>
  <si>
    <t>ICICI Bank Limited</t>
  </si>
  <si>
    <t>IDBI Bank Limited</t>
  </si>
  <si>
    <t>IDFC FIRST Bank Limited</t>
  </si>
  <si>
    <t>Indian Bank</t>
  </si>
  <si>
    <t>Indian Overseas Bank</t>
  </si>
  <si>
    <t>IndusInd Bank Limited</t>
  </si>
  <si>
    <t>Jio Payments Bank Limited</t>
  </si>
  <si>
    <t>Karnataka Bank Limited</t>
  </si>
  <si>
    <t>Karur Vysya Bank Limited</t>
  </si>
  <si>
    <t>Kotak Mahindra Bank Limited</t>
  </si>
  <si>
    <t>NSDL Payments Bank Limited</t>
  </si>
  <si>
    <t>Paytm Payments Bank Limited</t>
  </si>
  <si>
    <t>Punjab &amp; Sind Bank</t>
  </si>
  <si>
    <t>Punjab National Bank</t>
  </si>
  <si>
    <t>South Indian Bank Limited</t>
  </si>
  <si>
    <t>State Bank of India</t>
  </si>
  <si>
    <t>Tamilnad Mercantile Bank Limited</t>
  </si>
  <si>
    <t>The Catholic Syrian Bank Limited</t>
  </si>
  <si>
    <t>The Saraswat Co-operative Bank Limited</t>
  </si>
  <si>
    <t>UCO Bank</t>
  </si>
  <si>
    <t>Union Bank of India</t>
  </si>
  <si>
    <t>Yes Bank Limited</t>
  </si>
  <si>
    <t>Non Banks</t>
  </si>
  <si>
    <t>Appnit Technologies Private Limited</t>
  </si>
  <si>
    <t>Bajaj Finance Limited</t>
  </si>
  <si>
    <t>Balancehero India Private Limited</t>
  </si>
  <si>
    <t>Delhi Metro Rail Corporation Limited</t>
  </si>
  <si>
    <t>Ebix Payment Services Private Limited (formerly Itz Cash Card Private Limited)</t>
  </si>
  <si>
    <t>Eroute Technologies Private Limited</t>
  </si>
  <si>
    <t>LivQuik Technology (India) Private Limited</t>
  </si>
  <si>
    <t>Manappuram Finance Limited</t>
  </si>
  <si>
    <t>Nucleus Software Exports Limited</t>
  </si>
  <si>
    <t>Obopay Mobile Technology India Private Limited</t>
  </si>
  <si>
    <t>One Mobikwik Systems Limited</t>
  </si>
  <si>
    <t>PayU Payments Private Limited</t>
  </si>
  <si>
    <t>Premium eBusiness Ventures Private Limited</t>
  </si>
  <si>
    <t>Razorpay Technologies Private Limited</t>
  </si>
  <si>
    <t>Spice Money Limited</t>
  </si>
  <si>
    <t>Transcorp International Limited</t>
  </si>
  <si>
    <t>Transerv Limited</t>
  </si>
  <si>
    <t xml:space="preserve">Total </t>
  </si>
  <si>
    <t>Total number of PPI Cards deployed by the entity</t>
  </si>
  <si>
    <t>Total number of PPI Wallets deployed by the entity</t>
  </si>
  <si>
    <t>Total number of financial transactions done by the PPI cards issued by the entity for purchase of Goods and Services (both at PoS terminal and at online (e.g. e-commerce websites))</t>
  </si>
  <si>
    <t>Total value of financial transactions done by the PPI cards issued by the entity for purchase of Goods and Services (both at PoS terminal and at online (e.g. e-commerce websites))</t>
  </si>
  <si>
    <t>Total number of financial transactions done by the PPI cards issued by the entity for fund transfer (e.g., from own PPI to other PPIs issued by same or other PPI issuers, PPI to Bank account, etc.)</t>
  </si>
  <si>
    <t>Total value of financial transactions done by the PPI cards issued by the entity for fund transfer (e.g., from own PPI to other PPIs issued by same or other PPI issuers, PPI to Bank account, etc.)</t>
  </si>
  <si>
    <t>Total number of financial transactions done by the PPI wallets issued by the entity to purchase goods and services</t>
  </si>
  <si>
    <t>Total value of financial transactions done by the PPI wallets issued by the entity to purchase goods and services</t>
  </si>
  <si>
    <t>Total number of financial transactions done by the PPI wallets issued by the entity for fund transfer</t>
  </si>
  <si>
    <t>Total value of financial transactions done by the PPI wallets issued by the entity for fund transfer</t>
  </si>
  <si>
    <t>Total number of cash withdrawal transactions done by the PPI cards issued by the entity at ATMs</t>
  </si>
  <si>
    <t>Total value of cash withdrawal transactions done by the PPI cards issued by the entity at ATMs</t>
  </si>
  <si>
    <t>Total number of cash withdrawal transactions done by the PPI cards issued by the entity at PoS</t>
  </si>
  <si>
    <t>Total value of cash withdrawal transactions done by the PPI cards issued by the entity at PoS</t>
  </si>
  <si>
    <t>Airtel Payments Bank Limited</t>
  </si>
  <si>
    <t>Bank of Baroda</t>
  </si>
  <si>
    <t>Bank of Maharashtra</t>
  </si>
  <si>
    <t>Volume (Actual)</t>
  </si>
  <si>
    <t>A. P. Mahesh Co-operative Urban Bank Limited</t>
  </si>
  <si>
    <t>DBS Bank India Limited</t>
  </si>
  <si>
    <t>The Federal Bank Limited</t>
  </si>
  <si>
    <t>RBL Bank Limited</t>
  </si>
  <si>
    <t>Amazon Pay (India) Private Limited (formerly Amazon Online Distribution Services Private Limited)</t>
  </si>
  <si>
    <t>I Money Pay Private Limited (formerly E-Meditek Global Private Limited)</t>
  </si>
  <si>
    <t>Euronet Services India Private Limited</t>
  </si>
  <si>
    <t>Dreampurse Technologies Private Limited (Formerly Hip Bar Private Limited)</t>
  </si>
  <si>
    <t>Mpurse Services Pvt. Ltd.</t>
  </si>
  <si>
    <t>Ola Financial Services Pvt. Ltd. (formerly ZipCash Card Services Private Limited)</t>
  </si>
  <si>
    <t>Paul Merchants Finance Private Limited (formerly Paul Fincap Pvt. Ltd.)</t>
  </si>
  <si>
    <t>Pay Point India Network Private Limited</t>
  </si>
  <si>
    <t>RapiPay Fintech Private Limited (formerly Virgosoft IT Services Private Limited)</t>
  </si>
  <si>
    <t>Smart Payment Solutions Pvt. Ltd.</t>
  </si>
  <si>
    <t>Pluxee India Private Limited (formerly Sodexo SVC India Pvt. Ltd.)</t>
  </si>
  <si>
    <t>Transaction Analysts (India) Private Ltd.</t>
  </si>
  <si>
    <t>Tri O Tech Solutions Private Ltd.</t>
  </si>
  <si>
    <t>Uniorbit Payment Solutions Private Limited (formerly Weizmann Impex Service Enterprise Limited)</t>
  </si>
  <si>
    <t>MobilePe Fintech Private Limited</t>
  </si>
  <si>
    <t>Hindon Mercantile Limited</t>
  </si>
  <si>
    <t>Amica Payment Services Private Limited</t>
  </si>
  <si>
    <t>Tata Payments Limited  (Tata Pay)</t>
  </si>
  <si>
    <t>Slice Small Finance Bank Limited (Formerly North East Small Finance Bank Limited)</t>
  </si>
  <si>
    <t xml:space="preserve">Cashfree Payments India Private Limited </t>
  </si>
  <si>
    <t>In-Solutions Global Ltd </t>
  </si>
  <si>
    <t>iDisha Info Labs Private Limited</t>
  </si>
  <si>
    <t>Mswipe Technologies Pvt Ltd</t>
  </si>
  <si>
    <t xml:space="preserve">Nehat Tech Solutions Private Limited
</t>
  </si>
  <si>
    <t>Aditya Birla Capital Digital Limited</t>
  </si>
  <si>
    <t>Pockket Payments Technologies Private Limited</t>
  </si>
  <si>
    <t>PhonePe Limited (formerly PhonePe Private Limited)</t>
  </si>
  <si>
    <t>Pine Labs Limited (formerly known as Pine Labs Private Limited)</t>
  </si>
  <si>
    <t>Number of Outstanding Instruments (As on month end)</t>
  </si>
  <si>
    <t>Number of Active Instruments (As on month end)</t>
  </si>
  <si>
    <t>Total number of Active PPI Cards. PPIs with at least one financial transaction the last one year are considered as Active.</t>
  </si>
  <si>
    <t>Total number of Active PPI Wallets. PPIs with at least one financial transaction the last one year are considered as Active.</t>
  </si>
  <si>
    <t>The Dhanlaxmi Bank Limited</t>
  </si>
  <si>
    <t>Wizzmoni Financial Services Limited (formerly Unimoni Financial Services Limited and UAE Exchange &amp; Financial Services Ltd.)</t>
  </si>
  <si>
    <t>NOTE: The data is provisional.</t>
  </si>
  <si>
    <t>TZF Logistics Solutions Pvt. Ltd.</t>
  </si>
  <si>
    <t>PPI Payment Transactions - Purchase of Goods and Services and Fund Transfer (during the month of February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</si>
</sst>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0"/>
      <color theme="1"/>
      <name val="Arial"/>
      <family val="2"/>
    </font>
    <font>
      <sz val="10"/>
      <name val="Arial"/>
      <family val="2"/>
    </font>
    <font>
      <b/>
      <sz val="10"/>
      <name val="Arial"/>
      <family val="2"/>
    </font>
    <font>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3" fillId="0" borderId="0"/>
    <xf numFmtId="0" fontId="3" fillId="0" borderId="0"/>
  </cellStyleXfs>
  <cellXfs count="36">
    <xf numFmtId="0" fontId="0" fillId="0" borderId="0" xfId="0"/>
    <xf numFmtId="0" fontId="4" fillId="2" borderId="1" xfId="2" applyFont="1" applyFill="1" applyBorder="1" applyAlignment="1">
      <alignment horizontal="center" vertical="center" wrapText="1"/>
    </xf>
    <xf numFmtId="0" fontId="2" fillId="2" borderId="1" xfId="0" applyFont="1" applyFill="1" applyBorder="1" applyAlignment="1">
      <alignment horizontal="center" vertical="center"/>
    </xf>
    <xf numFmtId="0" fontId="5" fillId="2" borderId="0" xfId="0" applyFont="1" applyFill="1" applyAlignment="1">
      <alignment vertical="top"/>
    </xf>
    <xf numFmtId="0" fontId="5" fillId="2" borderId="1" xfId="0" applyFont="1" applyFill="1" applyBorder="1" applyAlignment="1">
      <alignment horizontal="center" vertical="top"/>
    </xf>
    <xf numFmtId="3" fontId="5" fillId="2" borderId="1" xfId="1" applyNumberFormat="1" applyFont="1" applyFill="1" applyBorder="1" applyAlignment="1">
      <alignment vertical="top"/>
    </xf>
    <xf numFmtId="4" fontId="5" fillId="2" borderId="1" xfId="1" applyNumberFormat="1" applyFont="1" applyFill="1" applyBorder="1" applyAlignment="1">
      <alignment vertical="top"/>
    </xf>
    <xf numFmtId="0" fontId="5" fillId="2" borderId="1" xfId="0" applyFont="1" applyFill="1" applyBorder="1" applyAlignment="1">
      <alignment horizontal="left" vertical="top" wrapText="1"/>
    </xf>
    <xf numFmtId="3" fontId="5" fillId="2" borderId="1" xfId="0" applyNumberFormat="1" applyFont="1" applyFill="1" applyBorder="1" applyAlignment="1">
      <alignment vertical="top"/>
    </xf>
    <xf numFmtId="4" fontId="5" fillId="2" borderId="1" xfId="0" applyNumberFormat="1" applyFont="1" applyFill="1" applyBorder="1" applyAlignment="1">
      <alignment vertical="top"/>
    </xf>
    <xf numFmtId="3" fontId="2" fillId="2" borderId="1" xfId="0" applyNumberFormat="1" applyFont="1" applyFill="1" applyBorder="1" applyAlignment="1">
      <alignment vertical="top"/>
    </xf>
    <xf numFmtId="0" fontId="3" fillId="2" borderId="1" xfId="0" applyFont="1" applyFill="1" applyBorder="1" applyAlignment="1">
      <alignment horizontal="center" vertical="top"/>
    </xf>
    <xf numFmtId="0" fontId="5" fillId="2" borderId="0" xfId="0" applyFont="1" applyFill="1" applyAlignment="1">
      <alignment horizontal="left" vertical="top"/>
    </xf>
    <xf numFmtId="2" fontId="5" fillId="2" borderId="0" xfId="0" applyNumberFormat="1" applyFont="1" applyFill="1" applyAlignment="1">
      <alignment vertical="top"/>
    </xf>
    <xf numFmtId="3" fontId="5" fillId="0" borderId="1" xfId="1" applyNumberFormat="1" applyFont="1" applyFill="1" applyBorder="1" applyAlignment="1">
      <alignment vertical="top"/>
    </xf>
    <xf numFmtId="4" fontId="5" fillId="0" borderId="1" xfId="1" applyNumberFormat="1" applyFont="1" applyFill="1" applyBorder="1" applyAlignment="1">
      <alignment vertical="top"/>
    </xf>
    <xf numFmtId="0" fontId="2" fillId="2" borderId="2" xfId="0" applyFont="1" applyFill="1" applyBorder="1" applyAlignment="1">
      <alignment vertical="top"/>
    </xf>
    <xf numFmtId="0" fontId="2" fillId="2" borderId="3" xfId="0" applyFont="1" applyFill="1" applyBorder="1" applyAlignment="1">
      <alignment vertical="top"/>
    </xf>
    <xf numFmtId="3" fontId="2" fillId="2" borderId="3" xfId="0" applyNumberFormat="1" applyFont="1" applyFill="1" applyBorder="1" applyAlignment="1">
      <alignment vertical="top"/>
    </xf>
    <xf numFmtId="3" fontId="2" fillId="2" borderId="3" xfId="1" applyNumberFormat="1" applyFont="1" applyFill="1" applyBorder="1" applyAlignment="1">
      <alignment vertical="top"/>
    </xf>
    <xf numFmtId="4" fontId="2" fillId="2" borderId="3" xfId="1" applyNumberFormat="1" applyFont="1" applyFill="1" applyBorder="1" applyAlignment="1">
      <alignment vertical="top"/>
    </xf>
    <xf numFmtId="4" fontId="2" fillId="2" borderId="3" xfId="0" applyNumberFormat="1" applyFont="1" applyFill="1" applyBorder="1" applyAlignment="1">
      <alignment vertical="top"/>
    </xf>
    <xf numFmtId="4" fontId="2" fillId="2" borderId="4" xfId="0" applyNumberFormat="1" applyFont="1" applyFill="1" applyBorder="1" applyAlignment="1">
      <alignment vertical="top"/>
    </xf>
    <xf numFmtId="0" fontId="5" fillId="2" borderId="4" xfId="0" applyFont="1" applyFill="1" applyBorder="1" applyAlignment="1">
      <alignment horizontal="left" vertical="top" wrapText="1"/>
    </xf>
    <xf numFmtId="0" fontId="4" fillId="2" borderId="1" xfId="2"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2" applyFont="1" applyFill="1" applyBorder="1" applyAlignment="1">
      <alignment horizontal="center" vertical="center" wrapText="1"/>
    </xf>
    <xf numFmtId="0" fontId="4" fillId="2" borderId="1" xfId="2" applyFont="1" applyFill="1" applyBorder="1" applyAlignment="1">
      <alignment horizontal="center" vertical="center"/>
    </xf>
    <xf numFmtId="0" fontId="3" fillId="2" borderId="1" xfId="4" applyFill="1" applyBorder="1" applyAlignment="1">
      <alignment horizontal="left" vertical="top" wrapText="1"/>
    </xf>
    <xf numFmtId="0" fontId="2" fillId="2" borderId="2" xfId="0" applyFont="1" applyFill="1" applyBorder="1" applyAlignment="1">
      <alignment horizontal="center" vertical="top"/>
    </xf>
    <xf numFmtId="0" fontId="2" fillId="2" borderId="4" xfId="0" applyFont="1" applyFill="1" applyBorder="1" applyAlignment="1">
      <alignment horizontal="center" vertical="top"/>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1" fontId="3" fillId="2" borderId="2" xfId="3" applyNumberFormat="1" applyFill="1" applyBorder="1" applyAlignment="1">
      <alignment horizontal="left" vertical="top" wrapText="1"/>
    </xf>
    <xf numFmtId="1" fontId="3" fillId="2" borderId="3" xfId="3" applyNumberFormat="1" applyFill="1" applyBorder="1" applyAlignment="1">
      <alignment horizontal="left" vertical="top" wrapText="1"/>
    </xf>
    <xf numFmtId="1" fontId="3" fillId="2" borderId="4" xfId="3" applyNumberFormat="1" applyFill="1" applyBorder="1" applyAlignment="1">
      <alignment horizontal="left" vertical="top" wrapText="1"/>
    </xf>
  </cellXfs>
  <cellStyles count="5">
    <cellStyle name="Normal" xfId="0" builtinId="0"/>
    <cellStyle name="Normal 2" xfId="2" xr:uid="{00000000-0005-0000-0000-000001000000}"/>
    <cellStyle name="Normal 2 2 10" xfId="4" xr:uid="{00000000-0005-0000-0000-000002000000}"/>
    <cellStyle name="Normal 2 3 2 2 12" xfId="3" xr:uid="{00000000-0005-0000-0000-000003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S129"/>
  <sheetViews>
    <sheetView tabSelected="1" zoomScaleNormal="100" zoomScaleSheetLayoutView="100" workbookViewId="0">
      <selection activeCell="A2" sqref="A2"/>
    </sheetView>
  </sheetViews>
  <sheetFormatPr defaultColWidth="11.42578125" defaultRowHeight="12.75" x14ac:dyDescent="0.25"/>
  <cols>
    <col min="1" max="1" width="2.5703125" style="3" customWidth="1"/>
    <col min="2" max="2" width="5.28515625" style="12" customWidth="1"/>
    <col min="3" max="3" width="41.85546875" style="12" customWidth="1"/>
    <col min="4" max="4" width="15.140625" style="3" customWidth="1"/>
    <col min="5" max="7" width="16.7109375" style="3" customWidth="1"/>
    <col min="8" max="8" width="13.85546875" style="3" customWidth="1"/>
    <col min="9" max="9" width="14.7109375" style="3" customWidth="1"/>
    <col min="10" max="10" width="12.85546875" style="3" customWidth="1"/>
    <col min="11" max="11" width="12.28515625" style="3" customWidth="1"/>
    <col min="12" max="12" width="13.7109375" style="3" customWidth="1"/>
    <col min="13" max="13" width="14.85546875" style="3" customWidth="1"/>
    <col min="14" max="14" width="13.140625" style="3" customWidth="1"/>
    <col min="15" max="15" width="14" style="3" customWidth="1"/>
    <col min="16" max="16" width="11" style="3" customWidth="1"/>
    <col min="17" max="17" width="14.28515625" style="3" customWidth="1"/>
    <col min="18" max="18" width="10.7109375" style="3" customWidth="1"/>
    <col min="19" max="19" width="11.7109375" style="3" customWidth="1"/>
    <col min="20" max="16384" width="11.42578125" style="3"/>
  </cols>
  <sheetData>
    <row r="2" spans="2:19" x14ac:dyDescent="0.25">
      <c r="B2" s="25" t="s">
        <v>0</v>
      </c>
      <c r="C2" s="25" t="s">
        <v>1</v>
      </c>
      <c r="D2" s="26" t="s">
        <v>114</v>
      </c>
      <c r="E2" s="26"/>
      <c r="F2" s="26" t="s">
        <v>115</v>
      </c>
      <c r="G2" s="26"/>
      <c r="H2" s="27" t="s">
        <v>122</v>
      </c>
      <c r="I2" s="27"/>
      <c r="J2" s="27"/>
      <c r="K2" s="27"/>
      <c r="L2" s="27"/>
      <c r="M2" s="27"/>
      <c r="N2" s="27"/>
      <c r="O2" s="27"/>
      <c r="P2" s="26" t="s">
        <v>2</v>
      </c>
      <c r="Q2" s="26"/>
      <c r="R2" s="26"/>
      <c r="S2" s="26"/>
    </row>
    <row r="3" spans="2:19" x14ac:dyDescent="0.25">
      <c r="B3" s="25"/>
      <c r="C3" s="25"/>
      <c r="D3" s="26"/>
      <c r="E3" s="26"/>
      <c r="F3" s="26"/>
      <c r="G3" s="26"/>
      <c r="H3" s="27" t="s">
        <v>3</v>
      </c>
      <c r="I3" s="27"/>
      <c r="J3" s="27"/>
      <c r="K3" s="27"/>
      <c r="L3" s="27" t="s">
        <v>4</v>
      </c>
      <c r="M3" s="27"/>
      <c r="N3" s="27"/>
      <c r="O3" s="27"/>
      <c r="P3" s="27" t="s">
        <v>5</v>
      </c>
      <c r="Q3" s="27"/>
      <c r="R3" s="27"/>
      <c r="S3" s="27"/>
    </row>
    <row r="4" spans="2:19" x14ac:dyDescent="0.25">
      <c r="B4" s="25"/>
      <c r="C4" s="25"/>
      <c r="D4" s="26"/>
      <c r="E4" s="26"/>
      <c r="F4" s="26"/>
      <c r="G4" s="26"/>
      <c r="H4" s="26" t="s">
        <v>6</v>
      </c>
      <c r="I4" s="26"/>
      <c r="J4" s="27" t="s">
        <v>7</v>
      </c>
      <c r="K4" s="27"/>
      <c r="L4" s="26" t="s">
        <v>6</v>
      </c>
      <c r="M4" s="26"/>
      <c r="N4" s="27" t="s">
        <v>7</v>
      </c>
      <c r="O4" s="27"/>
      <c r="P4" s="27" t="s">
        <v>8</v>
      </c>
      <c r="Q4" s="27"/>
      <c r="R4" s="27" t="s">
        <v>9</v>
      </c>
      <c r="S4" s="27"/>
    </row>
    <row r="5" spans="2:19" ht="25.5" x14ac:dyDescent="0.25">
      <c r="B5" s="25"/>
      <c r="C5" s="25"/>
      <c r="D5" s="1" t="s">
        <v>10</v>
      </c>
      <c r="E5" s="1" t="s">
        <v>11</v>
      </c>
      <c r="F5" s="24" t="s">
        <v>10</v>
      </c>
      <c r="G5" s="24" t="s">
        <v>11</v>
      </c>
      <c r="H5" s="1" t="s">
        <v>12</v>
      </c>
      <c r="I5" s="1" t="s">
        <v>13</v>
      </c>
      <c r="J5" s="1" t="s">
        <v>12</v>
      </c>
      <c r="K5" s="1" t="s">
        <v>13</v>
      </c>
      <c r="L5" s="1" t="s">
        <v>12</v>
      </c>
      <c r="M5" s="1" t="s">
        <v>13</v>
      </c>
      <c r="N5" s="1" t="s">
        <v>12</v>
      </c>
      <c r="O5" s="1" t="s">
        <v>13</v>
      </c>
      <c r="P5" s="1" t="s">
        <v>12</v>
      </c>
      <c r="Q5" s="1" t="s">
        <v>13</v>
      </c>
      <c r="R5" s="1" t="s">
        <v>81</v>
      </c>
      <c r="S5" s="1" t="s">
        <v>13</v>
      </c>
    </row>
    <row r="6" spans="2:19" x14ac:dyDescent="0.25">
      <c r="B6" s="2"/>
      <c r="C6" s="2"/>
      <c r="D6" s="1">
        <v>1</v>
      </c>
      <c r="E6" s="1">
        <v>2</v>
      </c>
      <c r="F6" s="24">
        <v>3</v>
      </c>
      <c r="G6" s="24">
        <v>4</v>
      </c>
      <c r="H6" s="24">
        <v>5</v>
      </c>
      <c r="I6" s="24">
        <v>6</v>
      </c>
      <c r="J6" s="24">
        <v>7</v>
      </c>
      <c r="K6" s="24">
        <v>8</v>
      </c>
      <c r="L6" s="24">
        <v>9</v>
      </c>
      <c r="M6" s="24">
        <v>10</v>
      </c>
      <c r="N6" s="24">
        <v>11</v>
      </c>
      <c r="O6" s="24">
        <v>12</v>
      </c>
      <c r="P6" s="24">
        <v>13</v>
      </c>
      <c r="Q6" s="24">
        <v>14</v>
      </c>
      <c r="R6" s="24">
        <v>15</v>
      </c>
      <c r="S6" s="24">
        <v>16</v>
      </c>
    </row>
    <row r="7" spans="2:19" x14ac:dyDescent="0.25">
      <c r="B7" s="31" t="s">
        <v>14</v>
      </c>
      <c r="C7" s="32"/>
      <c r="D7" s="1"/>
      <c r="E7" s="1"/>
      <c r="F7" s="24"/>
      <c r="G7" s="24"/>
      <c r="H7" s="1"/>
      <c r="I7" s="1"/>
      <c r="J7" s="1"/>
      <c r="K7" s="1"/>
      <c r="L7" s="1"/>
      <c r="M7" s="1"/>
      <c r="N7" s="1"/>
      <c r="O7" s="1"/>
      <c r="P7" s="1"/>
      <c r="Q7" s="1"/>
      <c r="R7" s="1"/>
      <c r="S7" s="1"/>
    </row>
    <row r="8" spans="2:19" x14ac:dyDescent="0.25">
      <c r="B8" s="4">
        <v>1</v>
      </c>
      <c r="C8" s="7" t="s">
        <v>15</v>
      </c>
      <c r="D8" s="5">
        <v>1873139</v>
      </c>
      <c r="E8" s="5">
        <v>64100</v>
      </c>
      <c r="F8" s="5">
        <v>1871914</v>
      </c>
      <c r="G8" s="5">
        <v>36449</v>
      </c>
      <c r="H8" s="5">
        <v>16521</v>
      </c>
      <c r="I8" s="6">
        <v>504.30158</v>
      </c>
      <c r="J8" s="5">
        <v>0</v>
      </c>
      <c r="K8" s="6">
        <v>0</v>
      </c>
      <c r="L8" s="5">
        <v>120594</v>
      </c>
      <c r="M8" s="6">
        <v>11288.367289999986</v>
      </c>
      <c r="N8" s="5">
        <v>0</v>
      </c>
      <c r="O8" s="6">
        <v>0</v>
      </c>
      <c r="P8" s="5">
        <v>0</v>
      </c>
      <c r="Q8" s="6">
        <v>0</v>
      </c>
      <c r="R8" s="5">
        <v>0</v>
      </c>
      <c r="S8" s="6">
        <v>0</v>
      </c>
    </row>
    <row r="9" spans="2:19" x14ac:dyDescent="0.25">
      <c r="B9" s="4">
        <v>2</v>
      </c>
      <c r="C9" s="7" t="s">
        <v>82</v>
      </c>
      <c r="D9" s="5">
        <v>897</v>
      </c>
      <c r="E9" s="5">
        <v>0</v>
      </c>
      <c r="F9" s="5">
        <v>21</v>
      </c>
      <c r="G9" s="5">
        <v>0</v>
      </c>
      <c r="H9" s="5">
        <v>0</v>
      </c>
      <c r="I9" s="6">
        <v>0</v>
      </c>
      <c r="J9" s="5">
        <v>0</v>
      </c>
      <c r="K9" s="6">
        <v>0</v>
      </c>
      <c r="L9" s="5">
        <v>0</v>
      </c>
      <c r="M9" s="6">
        <v>0</v>
      </c>
      <c r="N9" s="5">
        <v>0</v>
      </c>
      <c r="O9" s="6">
        <v>0</v>
      </c>
      <c r="P9" s="5">
        <v>0</v>
      </c>
      <c r="Q9" s="6">
        <v>0</v>
      </c>
      <c r="R9" s="5">
        <v>0</v>
      </c>
      <c r="S9" s="6">
        <v>0</v>
      </c>
    </row>
    <row r="10" spans="2:19" x14ac:dyDescent="0.25">
      <c r="B10" s="4">
        <v>3</v>
      </c>
      <c r="C10" s="7" t="s">
        <v>78</v>
      </c>
      <c r="D10" s="5">
        <v>5140032</v>
      </c>
      <c r="E10" s="14">
        <v>26429986</v>
      </c>
      <c r="F10" s="5">
        <v>5140032</v>
      </c>
      <c r="G10" s="5">
        <v>10491149</v>
      </c>
      <c r="H10" s="5">
        <v>14398220</v>
      </c>
      <c r="I10" s="6">
        <v>489888.43992000003</v>
      </c>
      <c r="J10" s="5">
        <v>0</v>
      </c>
      <c r="K10" s="6">
        <v>0</v>
      </c>
      <c r="L10" s="5">
        <v>5344270</v>
      </c>
      <c r="M10" s="6">
        <v>471426.400859999</v>
      </c>
      <c r="N10" s="5">
        <v>0</v>
      </c>
      <c r="O10" s="6">
        <v>0</v>
      </c>
      <c r="P10" s="5">
        <v>0</v>
      </c>
      <c r="Q10" s="6">
        <v>0</v>
      </c>
      <c r="R10" s="5">
        <v>0</v>
      </c>
      <c r="S10" s="6">
        <v>0</v>
      </c>
    </row>
    <row r="11" spans="2:19" x14ac:dyDescent="0.25">
      <c r="B11" s="4">
        <v>4</v>
      </c>
      <c r="C11" s="7" t="s">
        <v>16</v>
      </c>
      <c r="D11" s="5">
        <v>8562356</v>
      </c>
      <c r="E11" s="5">
        <v>11161885</v>
      </c>
      <c r="F11" s="5">
        <v>256756</v>
      </c>
      <c r="G11" s="5">
        <v>3616023</v>
      </c>
      <c r="H11" s="5">
        <v>93163</v>
      </c>
      <c r="I11" s="6">
        <v>120683.80139999936</v>
      </c>
      <c r="J11" s="5">
        <v>0</v>
      </c>
      <c r="K11" s="6">
        <v>0</v>
      </c>
      <c r="L11" s="5">
        <v>18321818</v>
      </c>
      <c r="M11" s="6">
        <v>5198482.1246000007</v>
      </c>
      <c r="N11" s="5">
        <v>6416</v>
      </c>
      <c r="O11" s="6">
        <v>27474.569</v>
      </c>
      <c r="P11" s="5">
        <v>14101</v>
      </c>
      <c r="Q11" s="6">
        <v>126448.7</v>
      </c>
      <c r="R11" s="5">
        <v>0</v>
      </c>
      <c r="S11" s="6">
        <v>0</v>
      </c>
    </row>
    <row r="12" spans="2:19" x14ac:dyDescent="0.25">
      <c r="B12" s="4">
        <v>5</v>
      </c>
      <c r="C12" s="7" t="s">
        <v>79</v>
      </c>
      <c r="D12" s="5">
        <v>459525</v>
      </c>
      <c r="E12" s="5">
        <v>1147439</v>
      </c>
      <c r="F12" s="5">
        <v>83872</v>
      </c>
      <c r="G12" s="5">
        <v>1007668</v>
      </c>
      <c r="H12" s="5">
        <v>4733</v>
      </c>
      <c r="I12" s="6">
        <v>9230.8314696429989</v>
      </c>
      <c r="J12" s="5">
        <v>0</v>
      </c>
      <c r="K12" s="6">
        <v>0</v>
      </c>
      <c r="L12" s="5">
        <v>4106223</v>
      </c>
      <c r="M12" s="6">
        <v>389278.68949999998</v>
      </c>
      <c r="N12" s="5">
        <v>0</v>
      </c>
      <c r="O12" s="6">
        <v>0</v>
      </c>
      <c r="P12" s="5">
        <v>769</v>
      </c>
      <c r="Q12" s="6">
        <v>5650.700000000008</v>
      </c>
      <c r="R12" s="5">
        <v>0</v>
      </c>
      <c r="S12" s="6">
        <v>0</v>
      </c>
    </row>
    <row r="13" spans="2:19" x14ac:dyDescent="0.25">
      <c r="B13" s="4">
        <v>6</v>
      </c>
      <c r="C13" s="7" t="s">
        <v>17</v>
      </c>
      <c r="D13" s="5">
        <v>34490</v>
      </c>
      <c r="E13" s="5">
        <v>0</v>
      </c>
      <c r="F13" s="5">
        <v>4290</v>
      </c>
      <c r="G13" s="5">
        <v>0</v>
      </c>
      <c r="H13" s="5">
        <v>1524</v>
      </c>
      <c r="I13" s="6">
        <v>3442.1331600000003</v>
      </c>
      <c r="J13" s="5">
        <v>0</v>
      </c>
      <c r="K13" s="6">
        <v>0</v>
      </c>
      <c r="L13" s="5">
        <v>0</v>
      </c>
      <c r="M13" s="6">
        <v>0</v>
      </c>
      <c r="N13" s="5">
        <v>0</v>
      </c>
      <c r="O13" s="6">
        <v>0</v>
      </c>
      <c r="P13" s="5">
        <v>571</v>
      </c>
      <c r="Q13" s="6">
        <v>4886.6671999999999</v>
      </c>
      <c r="R13" s="5">
        <v>0</v>
      </c>
      <c r="S13" s="6">
        <v>0</v>
      </c>
    </row>
    <row r="14" spans="2:19" x14ac:dyDescent="0.25">
      <c r="B14" s="4">
        <v>7</v>
      </c>
      <c r="C14" s="7" t="s">
        <v>80</v>
      </c>
      <c r="D14" s="5">
        <v>0</v>
      </c>
      <c r="E14" s="5">
        <v>19747</v>
      </c>
      <c r="F14" s="5">
        <v>0</v>
      </c>
      <c r="G14" s="5">
        <v>12754</v>
      </c>
      <c r="H14" s="5">
        <v>0</v>
      </c>
      <c r="I14" s="6">
        <v>0</v>
      </c>
      <c r="J14" s="5">
        <v>0</v>
      </c>
      <c r="K14" s="6">
        <v>0</v>
      </c>
      <c r="L14" s="5">
        <v>36193</v>
      </c>
      <c r="M14" s="6">
        <v>4222.1624000000002</v>
      </c>
      <c r="N14" s="5">
        <v>22</v>
      </c>
      <c r="O14" s="6">
        <v>28.359500000000001</v>
      </c>
      <c r="P14" s="5">
        <v>0</v>
      </c>
      <c r="Q14" s="6">
        <v>0</v>
      </c>
      <c r="R14" s="5">
        <v>0</v>
      </c>
      <c r="S14" s="6">
        <v>0</v>
      </c>
    </row>
    <row r="15" spans="2:19" x14ac:dyDescent="0.25">
      <c r="B15" s="4">
        <v>8</v>
      </c>
      <c r="C15" s="7" t="s">
        <v>18</v>
      </c>
      <c r="D15" s="5">
        <v>29749</v>
      </c>
      <c r="E15" s="5">
        <v>62218</v>
      </c>
      <c r="F15" s="5">
        <v>5178</v>
      </c>
      <c r="G15" s="5">
        <v>42715</v>
      </c>
      <c r="H15" s="5">
        <v>1221</v>
      </c>
      <c r="I15" s="6">
        <v>2589.4904999999999</v>
      </c>
      <c r="J15" s="5">
        <v>30</v>
      </c>
      <c r="K15" s="6">
        <v>1086.963</v>
      </c>
      <c r="L15" s="5">
        <v>147194</v>
      </c>
      <c r="M15" s="6">
        <v>9058.8174999999901</v>
      </c>
      <c r="N15" s="5">
        <v>0</v>
      </c>
      <c r="O15" s="6">
        <v>0</v>
      </c>
      <c r="P15" s="5">
        <v>866</v>
      </c>
      <c r="Q15" s="6">
        <v>6587.3</v>
      </c>
      <c r="R15" s="5">
        <v>0</v>
      </c>
      <c r="S15" s="6">
        <v>0</v>
      </c>
    </row>
    <row r="16" spans="2:19" x14ac:dyDescent="0.25">
      <c r="B16" s="4">
        <v>9</v>
      </c>
      <c r="C16" s="7" t="s">
        <v>19</v>
      </c>
      <c r="D16" s="5">
        <v>37546</v>
      </c>
      <c r="E16" s="5">
        <v>301882</v>
      </c>
      <c r="F16" s="5">
        <v>8692</v>
      </c>
      <c r="G16" s="5">
        <v>74331</v>
      </c>
      <c r="H16" s="14">
        <v>475</v>
      </c>
      <c r="I16" s="15">
        <v>602.48</v>
      </c>
      <c r="J16" s="5">
        <v>0</v>
      </c>
      <c r="K16" s="6">
        <v>0</v>
      </c>
      <c r="L16" s="5">
        <v>139567</v>
      </c>
      <c r="M16" s="6">
        <v>17010.0501</v>
      </c>
      <c r="N16" s="5">
        <v>99</v>
      </c>
      <c r="O16" s="6">
        <v>53.981000000000002</v>
      </c>
      <c r="P16" s="5">
        <v>223</v>
      </c>
      <c r="Q16" s="6">
        <v>1083.5999999999999</v>
      </c>
      <c r="R16" s="5">
        <v>0</v>
      </c>
      <c r="S16" s="6">
        <v>0</v>
      </c>
    </row>
    <row r="17" spans="2:19" x14ac:dyDescent="0.25">
      <c r="B17" s="4">
        <v>10</v>
      </c>
      <c r="C17" s="7" t="s">
        <v>83</v>
      </c>
      <c r="D17" s="5">
        <v>0</v>
      </c>
      <c r="E17" s="5">
        <v>2364</v>
      </c>
      <c r="F17" s="5">
        <v>0</v>
      </c>
      <c r="G17" s="5">
        <v>0</v>
      </c>
      <c r="H17" s="5">
        <v>0</v>
      </c>
      <c r="I17" s="6">
        <v>0</v>
      </c>
      <c r="J17" s="5">
        <v>0</v>
      </c>
      <c r="K17" s="6">
        <v>0</v>
      </c>
      <c r="L17" s="5">
        <v>0</v>
      </c>
      <c r="M17" s="6">
        <v>0</v>
      </c>
      <c r="N17" s="5">
        <v>0</v>
      </c>
      <c r="O17" s="6">
        <v>0</v>
      </c>
      <c r="P17" s="5">
        <v>0</v>
      </c>
      <c r="Q17" s="6">
        <v>0</v>
      </c>
      <c r="R17" s="5">
        <v>0</v>
      </c>
      <c r="S17" s="6">
        <v>0</v>
      </c>
    </row>
    <row r="18" spans="2:19" x14ac:dyDescent="0.25">
      <c r="B18" s="4">
        <v>11</v>
      </c>
      <c r="C18" s="7" t="s">
        <v>20</v>
      </c>
      <c r="D18" s="5">
        <v>390</v>
      </c>
      <c r="E18" s="5">
        <v>860709</v>
      </c>
      <c r="F18" s="5">
        <v>390</v>
      </c>
      <c r="G18" s="5">
        <v>200396</v>
      </c>
      <c r="H18" s="5">
        <v>490</v>
      </c>
      <c r="I18" s="6">
        <v>19.40333</v>
      </c>
      <c r="J18" s="5">
        <v>6</v>
      </c>
      <c r="K18" s="6">
        <v>39.697499999999998</v>
      </c>
      <c r="L18" s="5">
        <v>1169636</v>
      </c>
      <c r="M18" s="6">
        <v>88578.945911200004</v>
      </c>
      <c r="N18" s="5">
        <v>0</v>
      </c>
      <c r="O18" s="6">
        <v>0</v>
      </c>
      <c r="P18" s="5">
        <v>12</v>
      </c>
      <c r="Q18" s="6">
        <v>86.8</v>
      </c>
      <c r="R18" s="5">
        <v>0</v>
      </c>
      <c r="S18" s="6">
        <v>0</v>
      </c>
    </row>
    <row r="19" spans="2:19" x14ac:dyDescent="0.25">
      <c r="B19" s="4">
        <v>12</v>
      </c>
      <c r="C19" s="7" t="s">
        <v>21</v>
      </c>
      <c r="D19" s="5">
        <v>114211</v>
      </c>
      <c r="E19" s="5">
        <v>1325394</v>
      </c>
      <c r="F19" s="5">
        <v>99143</v>
      </c>
      <c r="G19" s="5">
        <v>38337</v>
      </c>
      <c r="H19" s="5">
        <v>5892</v>
      </c>
      <c r="I19" s="6">
        <v>43888.859840000005</v>
      </c>
      <c r="J19" s="5">
        <v>0</v>
      </c>
      <c r="K19" s="6">
        <v>0</v>
      </c>
      <c r="L19" s="5">
        <v>960</v>
      </c>
      <c r="M19" s="6">
        <v>822.53923999999995</v>
      </c>
      <c r="N19" s="5">
        <v>0</v>
      </c>
      <c r="O19" s="6">
        <v>0</v>
      </c>
      <c r="P19" s="5">
        <v>0</v>
      </c>
      <c r="Q19" s="6">
        <v>0</v>
      </c>
      <c r="R19" s="5">
        <v>0</v>
      </c>
      <c r="S19" s="6">
        <v>0</v>
      </c>
    </row>
    <row r="20" spans="2:19" x14ac:dyDescent="0.25">
      <c r="B20" s="4">
        <v>13</v>
      </c>
      <c r="C20" s="7" t="s">
        <v>22</v>
      </c>
      <c r="D20" s="5">
        <v>17215240</v>
      </c>
      <c r="E20" s="5">
        <v>36253697</v>
      </c>
      <c r="F20" s="5">
        <v>5677614</v>
      </c>
      <c r="G20" s="5">
        <v>3881886</v>
      </c>
      <c r="H20" s="5">
        <v>1683486</v>
      </c>
      <c r="I20" s="6">
        <v>1101919.37219</v>
      </c>
      <c r="J20" s="5">
        <v>0</v>
      </c>
      <c r="K20" s="6">
        <v>0</v>
      </c>
      <c r="L20" s="5">
        <v>30252261</v>
      </c>
      <c r="M20" s="6">
        <v>8656899.8534603622</v>
      </c>
      <c r="N20" s="5">
        <v>292411</v>
      </c>
      <c r="O20" s="6">
        <v>1822263.1057700003</v>
      </c>
      <c r="P20" s="5">
        <v>1286756</v>
      </c>
      <c r="Q20" s="6">
        <v>5608508.0874100002</v>
      </c>
      <c r="R20" s="5">
        <v>0</v>
      </c>
      <c r="S20" s="6">
        <v>0</v>
      </c>
    </row>
    <row r="21" spans="2:19" x14ac:dyDescent="0.25">
      <c r="B21" s="4">
        <v>14</v>
      </c>
      <c r="C21" s="7" t="s">
        <v>23</v>
      </c>
      <c r="D21" s="5">
        <v>16998170</v>
      </c>
      <c r="E21" s="5">
        <v>19223211</v>
      </c>
      <c r="F21" s="5">
        <v>1967482</v>
      </c>
      <c r="G21" s="5">
        <v>10248068</v>
      </c>
      <c r="H21" s="5">
        <v>642168</v>
      </c>
      <c r="I21" s="6">
        <v>1109260.1529999999</v>
      </c>
      <c r="J21" s="5">
        <v>21340</v>
      </c>
      <c r="K21" s="6">
        <v>32963.735999999997</v>
      </c>
      <c r="L21" s="5">
        <v>66816137</v>
      </c>
      <c r="M21" s="6">
        <v>14977985.774220001</v>
      </c>
      <c r="N21" s="5">
        <v>31481</v>
      </c>
      <c r="O21" s="6">
        <v>33181.03428</v>
      </c>
      <c r="P21" s="5">
        <v>207882</v>
      </c>
      <c r="Q21" s="6">
        <v>1930765.9</v>
      </c>
      <c r="R21" s="5">
        <v>0</v>
      </c>
      <c r="S21" s="6">
        <v>0</v>
      </c>
    </row>
    <row r="22" spans="2:19" x14ac:dyDescent="0.25">
      <c r="B22" s="4">
        <v>15</v>
      </c>
      <c r="C22" s="7" t="s">
        <v>24</v>
      </c>
      <c r="D22" s="5">
        <v>538024</v>
      </c>
      <c r="E22" s="5">
        <v>0</v>
      </c>
      <c r="F22" s="5">
        <v>120427</v>
      </c>
      <c r="G22" s="5">
        <v>0</v>
      </c>
      <c r="H22" s="5">
        <v>18377</v>
      </c>
      <c r="I22" s="6">
        <v>30161.187030000001</v>
      </c>
      <c r="J22" s="5">
        <v>17</v>
      </c>
      <c r="K22" s="6">
        <v>418.58340999999996</v>
      </c>
      <c r="L22" s="5">
        <v>0</v>
      </c>
      <c r="M22" s="6">
        <v>0</v>
      </c>
      <c r="N22" s="5">
        <v>0</v>
      </c>
      <c r="O22" s="6">
        <v>0</v>
      </c>
      <c r="P22" s="5">
        <v>11079</v>
      </c>
      <c r="Q22" s="6">
        <v>91011.4</v>
      </c>
      <c r="R22" s="5">
        <v>0</v>
      </c>
      <c r="S22" s="6">
        <v>0</v>
      </c>
    </row>
    <row r="23" spans="2:19" x14ac:dyDescent="0.25">
      <c r="B23" s="4">
        <v>16</v>
      </c>
      <c r="C23" s="7" t="s">
        <v>25</v>
      </c>
      <c r="D23" s="5">
        <v>0</v>
      </c>
      <c r="E23" s="5">
        <v>17427290</v>
      </c>
      <c r="F23" s="5">
        <v>0</v>
      </c>
      <c r="G23" s="5">
        <v>12435553</v>
      </c>
      <c r="H23" s="5">
        <v>0</v>
      </c>
      <c r="I23" s="6">
        <v>0</v>
      </c>
      <c r="J23" s="5">
        <v>0</v>
      </c>
      <c r="K23" s="6">
        <v>0</v>
      </c>
      <c r="L23" s="5">
        <v>149084355</v>
      </c>
      <c r="M23" s="6">
        <v>29116344.618549995</v>
      </c>
      <c r="N23" s="5">
        <v>0</v>
      </c>
      <c r="O23" s="6">
        <v>0</v>
      </c>
      <c r="P23" s="5">
        <v>0</v>
      </c>
      <c r="Q23" s="6">
        <v>0</v>
      </c>
      <c r="R23" s="5">
        <v>0</v>
      </c>
      <c r="S23" s="6">
        <v>0</v>
      </c>
    </row>
    <row r="24" spans="2:19" x14ac:dyDescent="0.25">
      <c r="B24" s="4">
        <v>17</v>
      </c>
      <c r="C24" s="7" t="s">
        <v>26</v>
      </c>
      <c r="D24" s="5">
        <v>36936</v>
      </c>
      <c r="E24" s="5">
        <v>754058</v>
      </c>
      <c r="F24" s="5">
        <v>8729</v>
      </c>
      <c r="G24" s="5">
        <v>743570</v>
      </c>
      <c r="H24" s="5">
        <v>1135</v>
      </c>
      <c r="I24" s="6">
        <v>3189.0049000000004</v>
      </c>
      <c r="J24" s="5">
        <v>182</v>
      </c>
      <c r="K24" s="6">
        <v>705.86699000000033</v>
      </c>
      <c r="L24" s="5">
        <v>459528</v>
      </c>
      <c r="M24" s="6">
        <v>1270898.7761400002</v>
      </c>
      <c r="N24" s="5">
        <v>0</v>
      </c>
      <c r="O24" s="6">
        <v>0</v>
      </c>
      <c r="P24" s="5">
        <v>345</v>
      </c>
      <c r="Q24" s="6">
        <v>2188.1</v>
      </c>
      <c r="R24" s="5">
        <v>0</v>
      </c>
      <c r="S24" s="6">
        <v>0</v>
      </c>
    </row>
    <row r="25" spans="2:19" x14ac:dyDescent="0.25">
      <c r="B25" s="4">
        <v>18</v>
      </c>
      <c r="C25" s="23" t="s">
        <v>27</v>
      </c>
      <c r="D25" s="5">
        <v>12853</v>
      </c>
      <c r="E25" s="5">
        <v>0</v>
      </c>
      <c r="F25" s="5">
        <v>6764</v>
      </c>
      <c r="G25" s="5">
        <v>0</v>
      </c>
      <c r="H25" s="5">
        <v>28893</v>
      </c>
      <c r="I25" s="6">
        <v>2329.9068700000003</v>
      </c>
      <c r="J25" s="5">
        <v>0</v>
      </c>
      <c r="K25" s="6">
        <v>0</v>
      </c>
      <c r="L25" s="5">
        <v>0</v>
      </c>
      <c r="M25" s="6">
        <v>0</v>
      </c>
      <c r="N25" s="5">
        <v>0</v>
      </c>
      <c r="O25" s="6">
        <v>0</v>
      </c>
      <c r="P25" s="5">
        <v>432</v>
      </c>
      <c r="Q25" s="6">
        <v>3261</v>
      </c>
      <c r="R25" s="5">
        <v>0</v>
      </c>
      <c r="S25" s="6">
        <v>0</v>
      </c>
    </row>
    <row r="26" spans="2:19" x14ac:dyDescent="0.25">
      <c r="B26" s="4">
        <v>19</v>
      </c>
      <c r="C26" s="23" t="s">
        <v>28</v>
      </c>
      <c r="D26" s="5">
        <v>6554150</v>
      </c>
      <c r="E26" s="5">
        <v>3975291</v>
      </c>
      <c r="F26" s="5">
        <v>468640</v>
      </c>
      <c r="G26" s="5">
        <v>1865286</v>
      </c>
      <c r="H26" s="5">
        <v>304484</v>
      </c>
      <c r="I26" s="6">
        <v>562403.00287000032</v>
      </c>
      <c r="J26" s="5">
        <v>0</v>
      </c>
      <c r="K26" s="6">
        <v>0</v>
      </c>
      <c r="L26" s="5">
        <v>9015296</v>
      </c>
      <c r="M26" s="6">
        <v>1033229.12902</v>
      </c>
      <c r="N26" s="5">
        <v>0</v>
      </c>
      <c r="O26" s="6">
        <v>0</v>
      </c>
      <c r="P26" s="5">
        <v>6975</v>
      </c>
      <c r="Q26" s="6">
        <v>49986.9</v>
      </c>
      <c r="R26" s="5">
        <v>0</v>
      </c>
      <c r="S26" s="6">
        <v>0</v>
      </c>
    </row>
    <row r="27" spans="2:19" x14ac:dyDescent="0.25">
      <c r="B27" s="4">
        <v>20</v>
      </c>
      <c r="C27" s="23" t="s">
        <v>29</v>
      </c>
      <c r="D27" s="5">
        <v>0</v>
      </c>
      <c r="E27" s="5">
        <v>2556418</v>
      </c>
      <c r="F27" s="5">
        <v>0</v>
      </c>
      <c r="G27" s="5">
        <v>290420</v>
      </c>
      <c r="H27" s="5">
        <v>0</v>
      </c>
      <c r="I27" s="6">
        <v>0</v>
      </c>
      <c r="J27" s="5">
        <v>0</v>
      </c>
      <c r="K27" s="6">
        <v>0</v>
      </c>
      <c r="L27" s="5">
        <v>2055</v>
      </c>
      <c r="M27" s="6">
        <v>993.03681000000006</v>
      </c>
      <c r="N27" s="5">
        <v>0</v>
      </c>
      <c r="O27" s="6">
        <v>0</v>
      </c>
      <c r="P27" s="5">
        <v>0</v>
      </c>
      <c r="Q27" s="6">
        <v>0</v>
      </c>
      <c r="R27" s="5">
        <v>0</v>
      </c>
      <c r="S27" s="6">
        <v>0</v>
      </c>
    </row>
    <row r="28" spans="2:19" x14ac:dyDescent="0.25">
      <c r="B28" s="4">
        <v>21</v>
      </c>
      <c r="C28" s="23" t="s">
        <v>30</v>
      </c>
      <c r="D28" s="5">
        <v>7928</v>
      </c>
      <c r="E28" s="5">
        <v>0</v>
      </c>
      <c r="F28" s="5">
        <v>75</v>
      </c>
      <c r="G28" s="5">
        <v>0</v>
      </c>
      <c r="H28" s="5">
        <v>1</v>
      </c>
      <c r="I28" s="6">
        <v>3.6930700000000001</v>
      </c>
      <c r="J28" s="5">
        <v>0</v>
      </c>
      <c r="K28" s="6">
        <v>0</v>
      </c>
      <c r="L28" s="5">
        <v>0</v>
      </c>
      <c r="M28" s="6">
        <v>0</v>
      </c>
      <c r="N28" s="5">
        <v>0</v>
      </c>
      <c r="O28" s="6">
        <v>0</v>
      </c>
      <c r="P28" s="5">
        <v>0</v>
      </c>
      <c r="Q28" s="6">
        <v>0</v>
      </c>
      <c r="R28" s="5">
        <v>0</v>
      </c>
      <c r="S28" s="6">
        <v>0</v>
      </c>
    </row>
    <row r="29" spans="2:19" x14ac:dyDescent="0.25">
      <c r="B29" s="4">
        <v>22</v>
      </c>
      <c r="C29" s="23" t="s">
        <v>31</v>
      </c>
      <c r="D29" s="5">
        <v>185415</v>
      </c>
      <c r="E29" s="5">
        <v>496849</v>
      </c>
      <c r="F29" s="5">
        <v>3075</v>
      </c>
      <c r="G29" s="5">
        <v>495201</v>
      </c>
      <c r="H29" s="5">
        <v>56</v>
      </c>
      <c r="I29" s="6">
        <v>69.400999999999996</v>
      </c>
      <c r="J29" s="5">
        <v>0</v>
      </c>
      <c r="K29" s="6">
        <v>0</v>
      </c>
      <c r="L29" s="5">
        <v>1610317</v>
      </c>
      <c r="M29" s="6">
        <v>270548.13572000002</v>
      </c>
      <c r="N29" s="5">
        <v>0</v>
      </c>
      <c r="O29" s="6">
        <v>0</v>
      </c>
      <c r="P29" s="5">
        <v>0</v>
      </c>
      <c r="Q29" s="6">
        <v>0</v>
      </c>
      <c r="R29" s="5">
        <v>0</v>
      </c>
      <c r="S29" s="6">
        <v>0</v>
      </c>
    </row>
    <row r="30" spans="2:19" x14ac:dyDescent="0.25">
      <c r="B30" s="4">
        <v>23</v>
      </c>
      <c r="C30" s="23" t="s">
        <v>32</v>
      </c>
      <c r="D30" s="5">
        <v>5505</v>
      </c>
      <c r="E30" s="5">
        <v>5359266</v>
      </c>
      <c r="F30" s="5">
        <v>431</v>
      </c>
      <c r="G30" s="5">
        <v>1778174</v>
      </c>
      <c r="H30" s="5">
        <v>20</v>
      </c>
      <c r="I30" s="6">
        <v>11.272</v>
      </c>
      <c r="J30" s="5">
        <v>0</v>
      </c>
      <c r="K30" s="6">
        <v>0</v>
      </c>
      <c r="L30" s="5">
        <v>10760966</v>
      </c>
      <c r="M30" s="6">
        <v>2288731.43096</v>
      </c>
      <c r="N30" s="5">
        <v>4882</v>
      </c>
      <c r="O30" s="6">
        <v>15706.18764</v>
      </c>
      <c r="P30" s="5">
        <v>0</v>
      </c>
      <c r="Q30" s="6">
        <v>0</v>
      </c>
      <c r="R30" s="5">
        <v>0</v>
      </c>
      <c r="S30" s="6">
        <v>0</v>
      </c>
    </row>
    <row r="31" spans="2:19" x14ac:dyDescent="0.25">
      <c r="B31" s="4">
        <v>24</v>
      </c>
      <c r="C31" s="23" t="s">
        <v>33</v>
      </c>
      <c r="D31" s="5">
        <v>42458566</v>
      </c>
      <c r="E31" s="5">
        <v>0</v>
      </c>
      <c r="F31" s="5">
        <v>4451367</v>
      </c>
      <c r="G31" s="5">
        <v>0</v>
      </c>
      <c r="H31" s="5">
        <v>1533523</v>
      </c>
      <c r="I31" s="6">
        <v>12765857.448549999</v>
      </c>
      <c r="J31" s="5">
        <v>535</v>
      </c>
      <c r="K31" s="6">
        <v>9079.8680000000004</v>
      </c>
      <c r="L31" s="5">
        <v>0</v>
      </c>
      <c r="M31" s="6">
        <v>0</v>
      </c>
      <c r="N31" s="5">
        <v>0</v>
      </c>
      <c r="O31" s="6">
        <v>0</v>
      </c>
      <c r="P31" s="5">
        <v>43</v>
      </c>
      <c r="Q31" s="6">
        <v>284.5</v>
      </c>
      <c r="R31" s="5">
        <v>0</v>
      </c>
      <c r="S31" s="6">
        <v>0</v>
      </c>
    </row>
    <row r="32" spans="2:19" x14ac:dyDescent="0.25">
      <c r="B32" s="4">
        <v>25</v>
      </c>
      <c r="C32" s="23" t="s">
        <v>34</v>
      </c>
      <c r="D32" s="5">
        <v>0</v>
      </c>
      <c r="E32" s="5">
        <v>100733999</v>
      </c>
      <c r="F32" s="5">
        <v>0</v>
      </c>
      <c r="G32" s="5">
        <v>7034745</v>
      </c>
      <c r="H32" s="5">
        <v>0</v>
      </c>
      <c r="I32" s="6">
        <v>0</v>
      </c>
      <c r="J32" s="5">
        <v>0</v>
      </c>
      <c r="K32" s="6">
        <v>0</v>
      </c>
      <c r="L32" s="5">
        <v>37036.000000000007</v>
      </c>
      <c r="M32" s="6">
        <v>2954.2829999999999</v>
      </c>
      <c r="N32" s="5">
        <v>2879</v>
      </c>
      <c r="O32" s="6">
        <v>1974.17</v>
      </c>
      <c r="P32" s="5">
        <v>0</v>
      </c>
      <c r="Q32" s="6">
        <v>0</v>
      </c>
      <c r="R32" s="5">
        <v>0</v>
      </c>
      <c r="S32" s="6">
        <v>0</v>
      </c>
    </row>
    <row r="33" spans="2:19" x14ac:dyDescent="0.25">
      <c r="B33" s="4">
        <v>26</v>
      </c>
      <c r="C33" s="23" t="s">
        <v>35</v>
      </c>
      <c r="D33" s="5">
        <v>51132</v>
      </c>
      <c r="E33" s="5">
        <v>0</v>
      </c>
      <c r="F33" s="5">
        <v>5</v>
      </c>
      <c r="G33" s="5">
        <v>0</v>
      </c>
      <c r="H33" s="5">
        <v>3</v>
      </c>
      <c r="I33" s="6">
        <v>0.80500000000000005</v>
      </c>
      <c r="J33" s="5">
        <v>0</v>
      </c>
      <c r="K33" s="6">
        <v>0</v>
      </c>
      <c r="L33" s="5">
        <v>0</v>
      </c>
      <c r="M33" s="6">
        <v>0</v>
      </c>
      <c r="N33" s="5">
        <v>0</v>
      </c>
      <c r="O33" s="6">
        <v>0</v>
      </c>
      <c r="P33" s="5">
        <v>1</v>
      </c>
      <c r="Q33" s="6">
        <v>0.9</v>
      </c>
      <c r="R33" s="5">
        <v>0</v>
      </c>
      <c r="S33" s="6">
        <v>0</v>
      </c>
    </row>
    <row r="34" spans="2:19" x14ac:dyDescent="0.25">
      <c r="B34" s="4">
        <v>27</v>
      </c>
      <c r="C34" s="23" t="s">
        <v>36</v>
      </c>
      <c r="D34" s="5">
        <v>1555066</v>
      </c>
      <c r="E34" s="5">
        <v>65894</v>
      </c>
      <c r="F34" s="5">
        <v>6090</v>
      </c>
      <c r="G34" s="5">
        <v>42745</v>
      </c>
      <c r="H34" s="5">
        <v>918</v>
      </c>
      <c r="I34" s="6">
        <v>2750.4304099999999</v>
      </c>
      <c r="J34" s="5">
        <v>132</v>
      </c>
      <c r="K34" s="6">
        <v>666.06607999999994</v>
      </c>
      <c r="L34" s="5">
        <v>48602</v>
      </c>
      <c r="M34" s="6">
        <v>2570.4859999999999</v>
      </c>
      <c r="N34" s="5">
        <v>0</v>
      </c>
      <c r="O34" s="6">
        <v>0</v>
      </c>
      <c r="P34" s="5">
        <v>885</v>
      </c>
      <c r="Q34" s="6">
        <v>7115.5</v>
      </c>
      <c r="R34" s="5">
        <v>0</v>
      </c>
      <c r="S34" s="6">
        <v>0</v>
      </c>
    </row>
    <row r="35" spans="2:19" x14ac:dyDescent="0.25">
      <c r="B35" s="4">
        <v>28</v>
      </c>
      <c r="C35" s="23" t="s">
        <v>85</v>
      </c>
      <c r="D35" s="5">
        <v>308809</v>
      </c>
      <c r="E35" s="5">
        <v>0</v>
      </c>
      <c r="F35" s="5">
        <v>302800</v>
      </c>
      <c r="G35" s="5">
        <v>0</v>
      </c>
      <c r="H35" s="5">
        <v>1665827</v>
      </c>
      <c r="I35" s="6">
        <v>80557.744780000008</v>
      </c>
      <c r="J35" s="5">
        <v>0</v>
      </c>
      <c r="K35" s="6">
        <v>0</v>
      </c>
      <c r="L35" s="5">
        <v>0</v>
      </c>
      <c r="M35" s="6">
        <v>0</v>
      </c>
      <c r="N35" s="5">
        <v>0</v>
      </c>
      <c r="O35" s="6">
        <v>0</v>
      </c>
      <c r="P35" s="5">
        <v>5</v>
      </c>
      <c r="Q35" s="6">
        <v>36</v>
      </c>
      <c r="R35" s="5">
        <v>0</v>
      </c>
      <c r="S35" s="6">
        <v>0</v>
      </c>
    </row>
    <row r="36" spans="2:19" ht="25.5" x14ac:dyDescent="0.25">
      <c r="B36" s="4">
        <v>29</v>
      </c>
      <c r="C36" s="23" t="s">
        <v>104</v>
      </c>
      <c r="D36" s="5">
        <v>0</v>
      </c>
      <c r="E36" s="5">
        <v>0</v>
      </c>
      <c r="F36" s="5">
        <v>0</v>
      </c>
      <c r="G36" s="5">
        <v>0</v>
      </c>
      <c r="H36" s="5">
        <v>0</v>
      </c>
      <c r="I36" s="6">
        <v>0</v>
      </c>
      <c r="J36" s="5">
        <v>0</v>
      </c>
      <c r="K36" s="6">
        <v>0</v>
      </c>
      <c r="L36" s="5">
        <v>0</v>
      </c>
      <c r="M36" s="6">
        <v>0</v>
      </c>
      <c r="N36" s="5">
        <v>6703</v>
      </c>
      <c r="O36" s="6">
        <v>533.71804000000009</v>
      </c>
      <c r="P36" s="5">
        <v>0</v>
      </c>
      <c r="Q36" s="6">
        <v>0</v>
      </c>
      <c r="R36" s="5">
        <v>0</v>
      </c>
      <c r="S36" s="6">
        <v>0</v>
      </c>
    </row>
    <row r="37" spans="2:19" x14ac:dyDescent="0.25">
      <c r="B37" s="4">
        <v>30</v>
      </c>
      <c r="C37" s="23" t="s">
        <v>37</v>
      </c>
      <c r="D37" s="5">
        <v>25260</v>
      </c>
      <c r="E37" s="5">
        <v>122904</v>
      </c>
      <c r="F37" s="5">
        <v>1537</v>
      </c>
      <c r="G37" s="5">
        <v>99062</v>
      </c>
      <c r="H37" s="5">
        <v>6966</v>
      </c>
      <c r="I37" s="6">
        <v>8154.3304399999997</v>
      </c>
      <c r="J37" s="5">
        <v>0</v>
      </c>
      <c r="K37" s="6">
        <v>0</v>
      </c>
      <c r="L37" s="5">
        <v>0</v>
      </c>
      <c r="M37" s="6">
        <v>0</v>
      </c>
      <c r="N37" s="5">
        <v>67</v>
      </c>
      <c r="O37" s="6">
        <v>73.257000000000005</v>
      </c>
      <c r="P37" s="5">
        <v>4103</v>
      </c>
      <c r="Q37" s="6">
        <v>5790.3040000000001</v>
      </c>
      <c r="R37" s="5">
        <v>0</v>
      </c>
      <c r="S37" s="6">
        <v>0</v>
      </c>
    </row>
    <row r="38" spans="2:19" x14ac:dyDescent="0.25">
      <c r="B38" s="4">
        <v>31</v>
      </c>
      <c r="C38" s="23" t="s">
        <v>38</v>
      </c>
      <c r="D38" s="5">
        <v>5397613</v>
      </c>
      <c r="E38" s="5">
        <v>6700347</v>
      </c>
      <c r="F38" s="5">
        <v>2543370</v>
      </c>
      <c r="G38" s="5">
        <v>5251334</v>
      </c>
      <c r="H38" s="5">
        <v>14030774</v>
      </c>
      <c r="I38" s="6">
        <v>408892.66629000008</v>
      </c>
      <c r="J38" s="5">
        <v>245</v>
      </c>
      <c r="K38" s="6">
        <v>3020.97381</v>
      </c>
      <c r="L38" s="5">
        <v>29430918</v>
      </c>
      <c r="M38" s="6">
        <v>3348011.8104499998</v>
      </c>
      <c r="N38" s="5">
        <v>0</v>
      </c>
      <c r="O38" s="6">
        <v>0</v>
      </c>
      <c r="P38" s="5">
        <v>81555</v>
      </c>
      <c r="Q38" s="6">
        <v>552657.16639999999</v>
      </c>
      <c r="R38" s="5">
        <v>0</v>
      </c>
      <c r="S38" s="6">
        <v>0</v>
      </c>
    </row>
    <row r="39" spans="2:19" x14ac:dyDescent="0.25">
      <c r="B39" s="4">
        <v>32</v>
      </c>
      <c r="C39" s="23" t="s">
        <v>39</v>
      </c>
      <c r="D39" s="5">
        <v>7040</v>
      </c>
      <c r="E39" s="5">
        <v>847</v>
      </c>
      <c r="F39" s="5">
        <v>604</v>
      </c>
      <c r="G39" s="5">
        <v>0</v>
      </c>
      <c r="H39" s="5">
        <v>31</v>
      </c>
      <c r="I39" s="6">
        <v>110.23794000000001</v>
      </c>
      <c r="J39" s="5">
        <v>0</v>
      </c>
      <c r="K39" s="6">
        <v>0</v>
      </c>
      <c r="L39" s="5">
        <v>0</v>
      </c>
      <c r="M39" s="6">
        <v>0</v>
      </c>
      <c r="N39" s="5">
        <v>0</v>
      </c>
      <c r="O39" s="6">
        <v>0</v>
      </c>
      <c r="P39" s="5">
        <v>432</v>
      </c>
      <c r="Q39" s="6">
        <v>3603.5</v>
      </c>
      <c r="R39" s="5">
        <v>0</v>
      </c>
      <c r="S39" s="6">
        <v>0</v>
      </c>
    </row>
    <row r="40" spans="2:19" x14ac:dyDescent="0.25">
      <c r="B40" s="4">
        <v>33</v>
      </c>
      <c r="C40" s="23" t="s">
        <v>40</v>
      </c>
      <c r="D40" s="5">
        <v>78660</v>
      </c>
      <c r="E40" s="5">
        <v>0</v>
      </c>
      <c r="F40" s="5">
        <v>0</v>
      </c>
      <c r="G40" s="5">
        <v>0</v>
      </c>
      <c r="H40" s="5">
        <v>0</v>
      </c>
      <c r="I40" s="6">
        <v>0</v>
      </c>
      <c r="J40" s="5">
        <v>0</v>
      </c>
      <c r="K40" s="6">
        <v>0</v>
      </c>
      <c r="L40" s="5">
        <v>0</v>
      </c>
      <c r="M40" s="6">
        <v>0</v>
      </c>
      <c r="N40" s="5">
        <v>0</v>
      </c>
      <c r="O40" s="6">
        <v>0</v>
      </c>
      <c r="P40" s="5">
        <v>0</v>
      </c>
      <c r="Q40" s="6">
        <v>0</v>
      </c>
      <c r="R40" s="5">
        <v>0</v>
      </c>
      <c r="S40" s="6">
        <v>0</v>
      </c>
    </row>
    <row r="41" spans="2:19" x14ac:dyDescent="0.25">
      <c r="B41" s="4">
        <v>34</v>
      </c>
      <c r="C41" s="23" t="s">
        <v>118</v>
      </c>
      <c r="D41" s="5">
        <v>34</v>
      </c>
      <c r="E41" s="5">
        <v>0</v>
      </c>
      <c r="F41" s="5">
        <v>0</v>
      </c>
      <c r="G41" s="5">
        <v>0</v>
      </c>
      <c r="H41" s="5">
        <v>0</v>
      </c>
      <c r="I41" s="6">
        <v>0</v>
      </c>
      <c r="J41" s="5">
        <v>0</v>
      </c>
      <c r="K41" s="6">
        <v>0</v>
      </c>
      <c r="L41" s="5">
        <v>0</v>
      </c>
      <c r="M41" s="6">
        <v>0</v>
      </c>
      <c r="N41" s="5">
        <v>0</v>
      </c>
      <c r="O41" s="6">
        <v>0</v>
      </c>
      <c r="P41" s="5">
        <v>0</v>
      </c>
      <c r="Q41" s="6">
        <v>0</v>
      </c>
      <c r="R41" s="5">
        <v>0</v>
      </c>
      <c r="S41" s="6">
        <v>0</v>
      </c>
    </row>
    <row r="42" spans="2:19" x14ac:dyDescent="0.25">
      <c r="B42" s="4">
        <v>35</v>
      </c>
      <c r="C42" s="23" t="s">
        <v>84</v>
      </c>
      <c r="D42" s="5">
        <v>0</v>
      </c>
      <c r="E42" s="5">
        <v>600369</v>
      </c>
      <c r="F42" s="5">
        <v>0</v>
      </c>
      <c r="G42" s="5">
        <v>600369</v>
      </c>
      <c r="H42" s="5">
        <v>0</v>
      </c>
      <c r="I42" s="6">
        <v>0</v>
      </c>
      <c r="J42" s="5">
        <v>0</v>
      </c>
      <c r="K42" s="6">
        <v>0</v>
      </c>
      <c r="L42" s="5">
        <v>645921</v>
      </c>
      <c r="M42" s="6">
        <v>78655.857999999993</v>
      </c>
      <c r="N42" s="5">
        <v>0</v>
      </c>
      <c r="O42" s="6">
        <v>0</v>
      </c>
      <c r="P42" s="5">
        <v>0</v>
      </c>
      <c r="Q42" s="6">
        <v>0</v>
      </c>
      <c r="R42" s="5">
        <v>0</v>
      </c>
      <c r="S42" s="6">
        <v>0</v>
      </c>
    </row>
    <row r="43" spans="2:19" x14ac:dyDescent="0.25">
      <c r="B43" s="4">
        <v>36</v>
      </c>
      <c r="C43" s="23" t="s">
        <v>41</v>
      </c>
      <c r="D43" s="5">
        <v>236857</v>
      </c>
      <c r="E43" s="5">
        <v>0</v>
      </c>
      <c r="F43" s="5">
        <v>19745</v>
      </c>
      <c r="G43" s="5">
        <v>0</v>
      </c>
      <c r="H43" s="5">
        <v>661</v>
      </c>
      <c r="I43" s="6">
        <v>1862.6953199999998</v>
      </c>
      <c r="J43" s="5">
        <v>4619</v>
      </c>
      <c r="K43" s="6">
        <v>2753.5662200000002</v>
      </c>
      <c r="L43" s="5">
        <v>0</v>
      </c>
      <c r="M43" s="6">
        <v>0</v>
      </c>
      <c r="N43" s="5">
        <v>0</v>
      </c>
      <c r="O43" s="6">
        <v>0</v>
      </c>
      <c r="P43" s="5">
        <v>0</v>
      </c>
      <c r="Q43" s="6">
        <v>0</v>
      </c>
      <c r="R43" s="5">
        <v>0</v>
      </c>
      <c r="S43" s="6">
        <v>0</v>
      </c>
    </row>
    <row r="44" spans="2:19" x14ac:dyDescent="0.25">
      <c r="B44" s="4">
        <v>37</v>
      </c>
      <c r="C44" s="23" t="s">
        <v>42</v>
      </c>
      <c r="D44" s="5">
        <v>5676</v>
      </c>
      <c r="E44" s="5">
        <v>1409730</v>
      </c>
      <c r="F44" s="5">
        <v>3495</v>
      </c>
      <c r="G44" s="5">
        <v>6511</v>
      </c>
      <c r="H44" s="5">
        <v>82</v>
      </c>
      <c r="I44" s="6">
        <v>99.89515999999999</v>
      </c>
      <c r="J44" s="5">
        <v>0</v>
      </c>
      <c r="K44" s="6">
        <v>0</v>
      </c>
      <c r="L44" s="5">
        <v>10170</v>
      </c>
      <c r="M44" s="6">
        <v>594.08399999999995</v>
      </c>
      <c r="N44" s="5">
        <v>789</v>
      </c>
      <c r="O44" s="6">
        <v>3684.33</v>
      </c>
      <c r="P44" s="5">
        <v>23</v>
      </c>
      <c r="Q44" s="6">
        <v>141.4</v>
      </c>
      <c r="R44" s="5">
        <v>0</v>
      </c>
      <c r="S44" s="6">
        <v>0</v>
      </c>
    </row>
    <row r="45" spans="2:19" x14ac:dyDescent="0.25">
      <c r="B45" s="4">
        <v>38</v>
      </c>
      <c r="C45" s="23" t="s">
        <v>43</v>
      </c>
      <c r="D45" s="5">
        <v>14176</v>
      </c>
      <c r="E45" s="5">
        <v>78777</v>
      </c>
      <c r="F45" s="5">
        <v>6712</v>
      </c>
      <c r="G45" s="5">
        <v>44320</v>
      </c>
      <c r="H45" s="5">
        <v>1706</v>
      </c>
      <c r="I45" s="6">
        <v>2292.3112000000001</v>
      </c>
      <c r="J45" s="5">
        <v>0</v>
      </c>
      <c r="K45" s="6">
        <v>0</v>
      </c>
      <c r="L45" s="5">
        <v>1061451</v>
      </c>
      <c r="M45" s="6">
        <v>102996.281</v>
      </c>
      <c r="N45" s="5">
        <v>0</v>
      </c>
      <c r="O45" s="6">
        <v>0</v>
      </c>
      <c r="P45" s="5">
        <v>914</v>
      </c>
      <c r="Q45" s="6">
        <v>8073.4</v>
      </c>
      <c r="R45" s="5">
        <v>0</v>
      </c>
      <c r="S45" s="6">
        <v>0</v>
      </c>
    </row>
    <row r="46" spans="2:19" x14ac:dyDescent="0.25">
      <c r="B46" s="4">
        <v>39</v>
      </c>
      <c r="C46" s="23" t="s">
        <v>44</v>
      </c>
      <c r="D46" s="5">
        <v>6056889</v>
      </c>
      <c r="E46" s="5">
        <v>2043080</v>
      </c>
      <c r="F46" s="5">
        <v>637580</v>
      </c>
      <c r="G46" s="5">
        <v>146587</v>
      </c>
      <c r="H46" s="5">
        <v>1109262</v>
      </c>
      <c r="I46" s="6">
        <v>31347.851419999981</v>
      </c>
      <c r="J46" s="5">
        <v>50326</v>
      </c>
      <c r="K46" s="6">
        <v>186658.04694</v>
      </c>
      <c r="L46" s="5">
        <v>766962</v>
      </c>
      <c r="M46" s="6">
        <v>14141.456700000001</v>
      </c>
      <c r="N46" s="5">
        <v>0</v>
      </c>
      <c r="O46" s="6">
        <v>0</v>
      </c>
      <c r="P46" s="5">
        <v>52247</v>
      </c>
      <c r="Q46" s="6">
        <v>165285.30918000001</v>
      </c>
      <c r="R46" s="5">
        <v>0</v>
      </c>
      <c r="S46" s="6">
        <v>0</v>
      </c>
    </row>
    <row r="47" spans="2:19" x14ac:dyDescent="0.25">
      <c r="B47" s="29" t="s">
        <v>45</v>
      </c>
      <c r="C47" s="30"/>
      <c r="D47" s="5"/>
      <c r="E47" s="5"/>
      <c r="F47" s="5"/>
      <c r="G47" s="5"/>
      <c r="H47" s="5"/>
      <c r="I47" s="6"/>
      <c r="J47" s="5"/>
      <c r="K47" s="6"/>
      <c r="L47" s="5"/>
      <c r="M47" s="6"/>
      <c r="N47" s="5"/>
      <c r="O47" s="6"/>
      <c r="P47" s="5"/>
      <c r="Q47" s="6"/>
      <c r="R47" s="5"/>
      <c r="S47" s="6"/>
    </row>
    <row r="48" spans="2:19" x14ac:dyDescent="0.25">
      <c r="B48" s="4">
        <v>1</v>
      </c>
      <c r="C48" s="7" t="s">
        <v>110</v>
      </c>
      <c r="D48" s="8">
        <v>21917</v>
      </c>
      <c r="E48" s="8">
        <v>2409</v>
      </c>
      <c r="F48" s="8">
        <v>21917</v>
      </c>
      <c r="G48" s="8">
        <v>2409</v>
      </c>
      <c r="H48" s="8">
        <v>9073</v>
      </c>
      <c r="I48" s="9">
        <v>55180.322030000003</v>
      </c>
      <c r="J48" s="8">
        <v>0</v>
      </c>
      <c r="K48" s="9">
        <v>0</v>
      </c>
      <c r="L48" s="8">
        <v>0</v>
      </c>
      <c r="M48" s="9">
        <v>0</v>
      </c>
      <c r="N48" s="8">
        <v>1</v>
      </c>
      <c r="O48" s="9">
        <v>0.5</v>
      </c>
      <c r="P48" s="8">
        <v>0</v>
      </c>
      <c r="Q48" s="9">
        <v>0</v>
      </c>
      <c r="R48" s="8">
        <v>0</v>
      </c>
      <c r="S48" s="9">
        <v>0</v>
      </c>
    </row>
    <row r="49" spans="2:19" ht="38.25" x14ac:dyDescent="0.25">
      <c r="B49" s="4">
        <v>2</v>
      </c>
      <c r="C49" s="7" t="s">
        <v>86</v>
      </c>
      <c r="D49" s="8">
        <v>0</v>
      </c>
      <c r="E49" s="8">
        <v>76087251</v>
      </c>
      <c r="F49" s="8">
        <v>0</v>
      </c>
      <c r="G49" s="8">
        <v>20278295</v>
      </c>
      <c r="H49" s="5">
        <v>0</v>
      </c>
      <c r="I49" s="6">
        <v>0</v>
      </c>
      <c r="J49" s="8">
        <v>0</v>
      </c>
      <c r="K49" s="9">
        <v>0</v>
      </c>
      <c r="L49" s="8">
        <v>14779695</v>
      </c>
      <c r="M49" s="9">
        <v>5264024.9014900001</v>
      </c>
      <c r="N49" s="8">
        <v>2860860</v>
      </c>
      <c r="O49" s="9">
        <v>9062552.2859000005</v>
      </c>
      <c r="P49" s="8">
        <v>0</v>
      </c>
      <c r="Q49" s="9">
        <v>0</v>
      </c>
      <c r="R49" s="8">
        <v>0</v>
      </c>
      <c r="S49" s="9">
        <v>0</v>
      </c>
    </row>
    <row r="50" spans="2:19" x14ac:dyDescent="0.25">
      <c r="B50" s="4">
        <v>3</v>
      </c>
      <c r="C50" s="7" t="s">
        <v>102</v>
      </c>
      <c r="D50" s="8">
        <v>0</v>
      </c>
      <c r="E50" s="8">
        <v>748186</v>
      </c>
      <c r="F50" s="8">
        <v>0</v>
      </c>
      <c r="G50" s="8">
        <v>748186</v>
      </c>
      <c r="H50" s="8">
        <v>0</v>
      </c>
      <c r="I50" s="9">
        <v>0</v>
      </c>
      <c r="J50" s="8">
        <v>0</v>
      </c>
      <c r="K50" s="9">
        <v>0</v>
      </c>
      <c r="L50" s="8">
        <v>140896</v>
      </c>
      <c r="M50" s="9">
        <v>55058.244729999999</v>
      </c>
      <c r="N50" s="8">
        <v>123210</v>
      </c>
      <c r="O50" s="9">
        <v>295750.2916</v>
      </c>
      <c r="P50" s="8">
        <v>0</v>
      </c>
      <c r="Q50" s="9">
        <v>0</v>
      </c>
      <c r="R50" s="8">
        <v>0</v>
      </c>
      <c r="S50" s="9">
        <v>0</v>
      </c>
    </row>
    <row r="51" spans="2:19" x14ac:dyDescent="0.25">
      <c r="B51" s="4">
        <v>4</v>
      </c>
      <c r="C51" s="7" t="s">
        <v>46</v>
      </c>
      <c r="D51" s="8">
        <v>4602918</v>
      </c>
      <c r="E51" s="8">
        <v>540704</v>
      </c>
      <c r="F51" s="8">
        <v>487982</v>
      </c>
      <c r="G51" s="8">
        <v>60918</v>
      </c>
      <c r="H51" s="5">
        <v>70422</v>
      </c>
      <c r="I51" s="6">
        <v>365287.84664</v>
      </c>
      <c r="J51" s="8">
        <v>0</v>
      </c>
      <c r="K51" s="9">
        <v>0</v>
      </c>
      <c r="L51" s="8">
        <v>23</v>
      </c>
      <c r="M51" s="9">
        <v>26.098200000000002</v>
      </c>
      <c r="N51" s="8">
        <v>40</v>
      </c>
      <c r="O51" s="9">
        <v>196.92099999999999</v>
      </c>
      <c r="P51" s="8">
        <v>0</v>
      </c>
      <c r="Q51" s="9">
        <v>0</v>
      </c>
      <c r="R51" s="8">
        <v>0</v>
      </c>
      <c r="S51" s="9">
        <v>0</v>
      </c>
    </row>
    <row r="52" spans="2:19" x14ac:dyDescent="0.25">
      <c r="B52" s="4">
        <v>5</v>
      </c>
      <c r="C52" s="7" t="s">
        <v>47</v>
      </c>
      <c r="D52" s="8">
        <v>0</v>
      </c>
      <c r="E52" s="8">
        <v>35277040</v>
      </c>
      <c r="F52" s="8">
        <v>0</v>
      </c>
      <c r="G52" s="8">
        <v>6810283</v>
      </c>
      <c r="H52" s="5">
        <v>0</v>
      </c>
      <c r="I52" s="6">
        <v>0</v>
      </c>
      <c r="J52" s="8">
        <v>0</v>
      </c>
      <c r="K52" s="9">
        <v>0</v>
      </c>
      <c r="L52" s="8">
        <v>10031482</v>
      </c>
      <c r="M52" s="9">
        <v>941633.38583003369</v>
      </c>
      <c r="N52" s="8">
        <v>178215</v>
      </c>
      <c r="O52" s="9">
        <v>749571.177210005</v>
      </c>
      <c r="P52" s="8">
        <v>0</v>
      </c>
      <c r="Q52" s="9">
        <v>0</v>
      </c>
      <c r="R52" s="8">
        <v>0</v>
      </c>
      <c r="S52" s="9">
        <v>0</v>
      </c>
    </row>
    <row r="53" spans="2:19" x14ac:dyDescent="0.25">
      <c r="B53" s="4">
        <v>6</v>
      </c>
      <c r="C53" s="7" t="s">
        <v>48</v>
      </c>
      <c r="D53" s="8">
        <v>0</v>
      </c>
      <c r="E53" s="8">
        <v>31282057</v>
      </c>
      <c r="F53" s="8">
        <v>0</v>
      </c>
      <c r="G53" s="8">
        <v>14510441</v>
      </c>
      <c r="H53" s="5">
        <v>0</v>
      </c>
      <c r="I53" s="6">
        <v>0</v>
      </c>
      <c r="J53" s="8">
        <v>0</v>
      </c>
      <c r="K53" s="9">
        <v>0</v>
      </c>
      <c r="L53" s="8">
        <v>86339</v>
      </c>
      <c r="M53" s="9">
        <v>20227.070530000001</v>
      </c>
      <c r="N53" s="8">
        <v>119981</v>
      </c>
      <c r="O53" s="9">
        <v>54235.642999999996</v>
      </c>
      <c r="P53" s="8">
        <v>0</v>
      </c>
      <c r="Q53" s="9">
        <v>0</v>
      </c>
      <c r="R53" s="8">
        <v>0</v>
      </c>
      <c r="S53" s="9">
        <v>0</v>
      </c>
    </row>
    <row r="54" spans="2:19" x14ac:dyDescent="0.25">
      <c r="B54" s="4">
        <v>7</v>
      </c>
      <c r="C54" s="7" t="s">
        <v>105</v>
      </c>
      <c r="D54" s="8">
        <v>0</v>
      </c>
      <c r="E54" s="8">
        <v>1030</v>
      </c>
      <c r="F54" s="8">
        <v>0</v>
      </c>
      <c r="G54" s="8">
        <v>1030</v>
      </c>
      <c r="H54" s="8">
        <v>0</v>
      </c>
      <c r="I54" s="9">
        <v>0</v>
      </c>
      <c r="J54" s="8">
        <v>0</v>
      </c>
      <c r="K54" s="9">
        <v>0</v>
      </c>
      <c r="L54" s="8">
        <v>1149</v>
      </c>
      <c r="M54" s="9">
        <v>775.08341000000007</v>
      </c>
      <c r="N54" s="8">
        <v>0</v>
      </c>
      <c r="O54" s="9">
        <v>0</v>
      </c>
      <c r="P54" s="8">
        <v>0</v>
      </c>
      <c r="Q54" s="9">
        <v>0</v>
      </c>
      <c r="R54" s="8">
        <v>0</v>
      </c>
      <c r="S54" s="9">
        <v>0</v>
      </c>
    </row>
    <row r="55" spans="2:19" x14ac:dyDescent="0.25">
      <c r="B55" s="4">
        <v>8</v>
      </c>
      <c r="C55" s="7" t="s">
        <v>49</v>
      </c>
      <c r="D55" s="8">
        <v>25692500</v>
      </c>
      <c r="E55" s="8">
        <v>0</v>
      </c>
      <c r="F55" s="8">
        <v>25692500</v>
      </c>
      <c r="G55" s="8">
        <v>0</v>
      </c>
      <c r="H55" s="8">
        <v>46807238</v>
      </c>
      <c r="I55" s="9">
        <v>1735406.548</v>
      </c>
      <c r="J55" s="8">
        <v>0</v>
      </c>
      <c r="K55" s="9">
        <v>0</v>
      </c>
      <c r="L55" s="8">
        <v>0</v>
      </c>
      <c r="M55" s="9">
        <v>0</v>
      </c>
      <c r="N55" s="8">
        <v>0</v>
      </c>
      <c r="O55" s="9">
        <v>0</v>
      </c>
      <c r="P55" s="8">
        <v>0</v>
      </c>
      <c r="Q55" s="9">
        <v>0</v>
      </c>
      <c r="R55" s="8">
        <v>0</v>
      </c>
      <c r="S55" s="9">
        <v>0</v>
      </c>
    </row>
    <row r="56" spans="2:19" ht="25.5" x14ac:dyDescent="0.25">
      <c r="B56" s="4">
        <v>9</v>
      </c>
      <c r="C56" s="7" t="s">
        <v>89</v>
      </c>
      <c r="D56" s="8">
        <v>0</v>
      </c>
      <c r="E56" s="8">
        <v>4132834</v>
      </c>
      <c r="F56" s="8">
        <v>0</v>
      </c>
      <c r="G56" s="8">
        <v>3823967</v>
      </c>
      <c r="H56" s="8">
        <v>0</v>
      </c>
      <c r="I56" s="9">
        <v>0</v>
      </c>
      <c r="J56" s="8">
        <v>0</v>
      </c>
      <c r="K56" s="9">
        <v>0</v>
      </c>
      <c r="L56" s="8">
        <v>784264</v>
      </c>
      <c r="M56" s="9">
        <v>377386.82524000003</v>
      </c>
      <c r="N56" s="8">
        <v>840725</v>
      </c>
      <c r="O56" s="9">
        <v>8286271.8257100005</v>
      </c>
      <c r="P56" s="8">
        <v>0</v>
      </c>
      <c r="Q56" s="9">
        <v>0</v>
      </c>
      <c r="R56" s="8">
        <v>0</v>
      </c>
      <c r="S56" s="9">
        <v>0</v>
      </c>
    </row>
    <row r="57" spans="2:19" ht="25.5" x14ac:dyDescent="0.25">
      <c r="B57" s="4">
        <v>10</v>
      </c>
      <c r="C57" s="7" t="s">
        <v>50</v>
      </c>
      <c r="D57" s="8">
        <v>258775</v>
      </c>
      <c r="E57" s="8">
        <v>12472972</v>
      </c>
      <c r="F57" s="8">
        <v>136689</v>
      </c>
      <c r="G57" s="8">
        <v>1292976</v>
      </c>
      <c r="H57" s="5">
        <v>23543</v>
      </c>
      <c r="I57" s="6">
        <v>51701.620900000089</v>
      </c>
      <c r="J57" s="8">
        <v>0</v>
      </c>
      <c r="K57" s="9">
        <v>0</v>
      </c>
      <c r="L57" s="8">
        <v>10144</v>
      </c>
      <c r="M57" s="9">
        <v>151283.06787999999</v>
      </c>
      <c r="N57" s="8">
        <v>1722</v>
      </c>
      <c r="O57" s="9">
        <v>13750.276940000011</v>
      </c>
      <c r="P57" s="8">
        <v>27</v>
      </c>
      <c r="Q57" s="9">
        <v>41.9</v>
      </c>
      <c r="R57" s="8">
        <v>0</v>
      </c>
      <c r="S57" s="9">
        <v>0</v>
      </c>
    </row>
    <row r="58" spans="2:19" x14ac:dyDescent="0.25">
      <c r="B58" s="4">
        <v>11</v>
      </c>
      <c r="C58" s="7" t="s">
        <v>51</v>
      </c>
      <c r="D58" s="8">
        <v>1522014</v>
      </c>
      <c r="E58" s="8">
        <v>1447634</v>
      </c>
      <c r="F58" s="8">
        <v>15351</v>
      </c>
      <c r="G58" s="8">
        <v>1422638</v>
      </c>
      <c r="H58" s="5">
        <v>170</v>
      </c>
      <c r="I58" s="6">
        <v>225.30118999999999</v>
      </c>
      <c r="J58" s="8">
        <v>0</v>
      </c>
      <c r="K58" s="9">
        <v>0</v>
      </c>
      <c r="L58" s="8">
        <v>1894745</v>
      </c>
      <c r="M58" s="9">
        <v>921310.88657000009</v>
      </c>
      <c r="N58" s="8">
        <v>108472</v>
      </c>
      <c r="O58" s="9">
        <v>75827.163889999996</v>
      </c>
      <c r="P58" s="8">
        <v>1082</v>
      </c>
      <c r="Q58" s="9">
        <v>1373.9</v>
      </c>
      <c r="R58" s="8">
        <v>0</v>
      </c>
      <c r="S58" s="9">
        <v>0</v>
      </c>
    </row>
    <row r="59" spans="2:19" x14ac:dyDescent="0.25">
      <c r="B59" s="4">
        <v>12</v>
      </c>
      <c r="C59" s="7" t="s">
        <v>88</v>
      </c>
      <c r="D59" s="8">
        <v>93702</v>
      </c>
      <c r="E59" s="8">
        <v>0</v>
      </c>
      <c r="F59" s="8">
        <v>48722</v>
      </c>
      <c r="G59" s="8">
        <v>0</v>
      </c>
      <c r="H59" s="8">
        <v>14648</v>
      </c>
      <c r="I59" s="9">
        <v>57703.339749999999</v>
      </c>
      <c r="J59" s="8">
        <v>0</v>
      </c>
      <c r="K59" s="9">
        <v>0</v>
      </c>
      <c r="L59" s="8">
        <v>0</v>
      </c>
      <c r="M59" s="9">
        <v>0</v>
      </c>
      <c r="N59" s="8">
        <v>0</v>
      </c>
      <c r="O59" s="9">
        <v>0</v>
      </c>
      <c r="P59" s="8">
        <v>1</v>
      </c>
      <c r="Q59" s="9">
        <v>0.1</v>
      </c>
      <c r="R59" s="8">
        <v>0</v>
      </c>
      <c r="S59" s="9">
        <v>0</v>
      </c>
    </row>
    <row r="60" spans="2:19" x14ac:dyDescent="0.25">
      <c r="B60" s="4">
        <v>13</v>
      </c>
      <c r="C60" s="7" t="s">
        <v>101</v>
      </c>
      <c r="D60" s="8">
        <v>9329594</v>
      </c>
      <c r="E60" s="8">
        <v>14902</v>
      </c>
      <c r="F60" s="8">
        <v>9196414</v>
      </c>
      <c r="G60" s="8">
        <v>14900</v>
      </c>
      <c r="H60" s="8">
        <v>377852</v>
      </c>
      <c r="I60" s="9">
        <v>1327208.7742300001</v>
      </c>
      <c r="J60" s="8">
        <v>0</v>
      </c>
      <c r="K60" s="9">
        <v>0</v>
      </c>
      <c r="L60" s="8">
        <v>951</v>
      </c>
      <c r="M60" s="9">
        <v>292.17998999999998</v>
      </c>
      <c r="N60" s="8">
        <v>7360794</v>
      </c>
      <c r="O60" s="9">
        <v>12845591.993000001</v>
      </c>
      <c r="P60" s="8">
        <v>4</v>
      </c>
      <c r="Q60" s="9">
        <v>4</v>
      </c>
      <c r="R60" s="8">
        <v>0</v>
      </c>
      <c r="S60" s="9">
        <v>0</v>
      </c>
    </row>
    <row r="61" spans="2:19" ht="25.5" x14ac:dyDescent="0.25">
      <c r="B61" s="4">
        <v>14</v>
      </c>
      <c r="C61" s="7" t="s">
        <v>87</v>
      </c>
      <c r="D61" s="8">
        <v>403957</v>
      </c>
      <c r="E61" s="8">
        <v>18968</v>
      </c>
      <c r="F61" s="8">
        <v>9328</v>
      </c>
      <c r="G61" s="8">
        <v>46</v>
      </c>
      <c r="H61" s="8">
        <v>14</v>
      </c>
      <c r="I61" s="9">
        <v>1.0008999999999999</v>
      </c>
      <c r="J61" s="8">
        <v>0</v>
      </c>
      <c r="K61" s="9">
        <v>0</v>
      </c>
      <c r="L61" s="8">
        <v>150</v>
      </c>
      <c r="M61" s="9">
        <v>26.007479999999941</v>
      </c>
      <c r="N61" s="8">
        <v>158</v>
      </c>
      <c r="O61" s="9">
        <v>186.358</v>
      </c>
      <c r="P61" s="8">
        <v>0</v>
      </c>
      <c r="Q61" s="9">
        <v>0</v>
      </c>
      <c r="R61" s="8">
        <v>0</v>
      </c>
      <c r="S61" s="9">
        <v>0</v>
      </c>
    </row>
    <row r="62" spans="2:19" x14ac:dyDescent="0.25">
      <c r="B62" s="4">
        <v>15</v>
      </c>
      <c r="C62" s="7" t="s">
        <v>107</v>
      </c>
      <c r="D62" s="8">
        <v>0</v>
      </c>
      <c r="E62" s="8">
        <v>27700</v>
      </c>
      <c r="F62" s="8">
        <v>0</v>
      </c>
      <c r="G62" s="8">
        <v>27700</v>
      </c>
      <c r="H62" s="8">
        <v>0</v>
      </c>
      <c r="I62" s="9">
        <v>0</v>
      </c>
      <c r="J62" s="8">
        <v>0</v>
      </c>
      <c r="K62" s="9">
        <v>0</v>
      </c>
      <c r="L62" s="8">
        <v>5010</v>
      </c>
      <c r="M62" s="9">
        <v>517.58647000000008</v>
      </c>
      <c r="N62" s="8">
        <v>398</v>
      </c>
      <c r="O62" s="9">
        <v>430.13957999999997</v>
      </c>
      <c r="P62" s="8">
        <v>0</v>
      </c>
      <c r="Q62" s="9">
        <v>0</v>
      </c>
      <c r="R62" s="8">
        <v>0</v>
      </c>
      <c r="S62" s="9">
        <v>0</v>
      </c>
    </row>
    <row r="63" spans="2:19" x14ac:dyDescent="0.25">
      <c r="B63" s="4">
        <v>16</v>
      </c>
      <c r="C63" s="7" t="s">
        <v>106</v>
      </c>
      <c r="D63" s="8">
        <v>1920</v>
      </c>
      <c r="E63" s="8">
        <v>0</v>
      </c>
      <c r="F63" s="8">
        <v>1920</v>
      </c>
      <c r="G63" s="8">
        <v>0</v>
      </c>
      <c r="H63" s="8">
        <v>242</v>
      </c>
      <c r="I63" s="9">
        <v>137.61407</v>
      </c>
      <c r="J63" s="8">
        <v>0</v>
      </c>
      <c r="K63" s="9">
        <v>0</v>
      </c>
      <c r="L63" s="8">
        <v>0</v>
      </c>
      <c r="M63" s="9">
        <v>0</v>
      </c>
      <c r="N63" s="8">
        <v>0</v>
      </c>
      <c r="O63" s="9">
        <v>0</v>
      </c>
      <c r="P63" s="8">
        <v>0</v>
      </c>
      <c r="Q63" s="9">
        <v>0</v>
      </c>
      <c r="R63" s="8">
        <v>0</v>
      </c>
      <c r="S63" s="9">
        <v>0</v>
      </c>
    </row>
    <row r="64" spans="2:19" x14ac:dyDescent="0.25">
      <c r="B64" s="4">
        <v>17</v>
      </c>
      <c r="C64" s="7" t="s">
        <v>52</v>
      </c>
      <c r="D64" s="8">
        <v>713457</v>
      </c>
      <c r="E64" s="8">
        <v>9778</v>
      </c>
      <c r="F64" s="8">
        <v>472330</v>
      </c>
      <c r="G64" s="8">
        <v>1</v>
      </c>
      <c r="H64" s="8">
        <v>12551025</v>
      </c>
      <c r="I64" s="9">
        <v>6334774.9064100003</v>
      </c>
      <c r="J64" s="8">
        <v>9495</v>
      </c>
      <c r="K64" s="9">
        <v>49533.697020000007</v>
      </c>
      <c r="L64" s="8">
        <v>0</v>
      </c>
      <c r="M64" s="9">
        <v>0</v>
      </c>
      <c r="N64" s="8">
        <v>0</v>
      </c>
      <c r="O64" s="9">
        <v>0</v>
      </c>
      <c r="P64" s="8">
        <v>165</v>
      </c>
      <c r="Q64" s="9">
        <v>237.2</v>
      </c>
      <c r="R64" s="8">
        <v>0</v>
      </c>
      <c r="S64" s="9">
        <v>0</v>
      </c>
    </row>
    <row r="65" spans="2:19" x14ac:dyDescent="0.25">
      <c r="B65" s="4">
        <v>18</v>
      </c>
      <c r="C65" s="7" t="s">
        <v>53</v>
      </c>
      <c r="D65" s="8">
        <v>0</v>
      </c>
      <c r="E65" s="8">
        <v>17646</v>
      </c>
      <c r="F65" s="8">
        <v>0</v>
      </c>
      <c r="G65" s="8">
        <v>5706</v>
      </c>
      <c r="H65" s="8">
        <v>0</v>
      </c>
      <c r="I65" s="9">
        <v>0</v>
      </c>
      <c r="J65" s="8">
        <v>0</v>
      </c>
      <c r="K65" s="9">
        <v>0</v>
      </c>
      <c r="L65" s="8">
        <v>11</v>
      </c>
      <c r="M65" s="9">
        <v>92.091999999999999</v>
      </c>
      <c r="N65" s="8">
        <v>10290</v>
      </c>
      <c r="O65" s="9">
        <v>115477.861</v>
      </c>
      <c r="P65" s="8">
        <v>0</v>
      </c>
      <c r="Q65" s="9">
        <v>0</v>
      </c>
      <c r="R65" s="8">
        <v>0</v>
      </c>
      <c r="S65" s="9">
        <v>0</v>
      </c>
    </row>
    <row r="66" spans="2:19" x14ac:dyDescent="0.25">
      <c r="B66" s="4">
        <v>19</v>
      </c>
      <c r="C66" s="7" t="s">
        <v>100</v>
      </c>
      <c r="D66" s="8">
        <v>11</v>
      </c>
      <c r="E66" s="8">
        <v>55325</v>
      </c>
      <c r="F66" s="8">
        <v>5</v>
      </c>
      <c r="G66" s="8">
        <v>16520</v>
      </c>
      <c r="H66" s="8">
        <v>0</v>
      </c>
      <c r="I66" s="9">
        <v>0</v>
      </c>
      <c r="J66" s="8">
        <v>0</v>
      </c>
      <c r="K66" s="9">
        <v>0</v>
      </c>
      <c r="L66" s="8">
        <v>19345</v>
      </c>
      <c r="M66" s="9">
        <v>72827.099730000002</v>
      </c>
      <c r="N66" s="8">
        <v>2938</v>
      </c>
      <c r="O66" s="9">
        <v>5114.3452500000003</v>
      </c>
      <c r="P66" s="8">
        <v>2</v>
      </c>
      <c r="Q66" s="9">
        <v>2</v>
      </c>
      <c r="R66" s="8">
        <v>0</v>
      </c>
      <c r="S66" s="9">
        <v>0</v>
      </c>
    </row>
    <row r="67" spans="2:19" x14ac:dyDescent="0.25">
      <c r="B67" s="4">
        <v>20</v>
      </c>
      <c r="C67" s="7" t="s">
        <v>90</v>
      </c>
      <c r="D67" s="8">
        <v>0</v>
      </c>
      <c r="E67" s="8">
        <v>5378</v>
      </c>
      <c r="F67" s="8">
        <v>0</v>
      </c>
      <c r="G67" s="8">
        <v>806</v>
      </c>
      <c r="H67" s="8">
        <v>0</v>
      </c>
      <c r="I67" s="9">
        <v>0</v>
      </c>
      <c r="J67" s="8">
        <v>0</v>
      </c>
      <c r="K67" s="9">
        <v>0</v>
      </c>
      <c r="L67" s="8">
        <v>0</v>
      </c>
      <c r="M67" s="9">
        <v>0</v>
      </c>
      <c r="N67" s="8">
        <v>0</v>
      </c>
      <c r="O67" s="9">
        <v>0</v>
      </c>
      <c r="P67" s="8">
        <v>0</v>
      </c>
      <c r="Q67" s="9">
        <v>0</v>
      </c>
      <c r="R67" s="8">
        <v>0</v>
      </c>
      <c r="S67" s="9">
        <v>0</v>
      </c>
    </row>
    <row r="68" spans="2:19" x14ac:dyDescent="0.25">
      <c r="B68" s="4">
        <v>21</v>
      </c>
      <c r="C68" s="7" t="s">
        <v>108</v>
      </c>
      <c r="D68" s="8">
        <v>0</v>
      </c>
      <c r="E68" s="8">
        <v>59</v>
      </c>
      <c r="F68" s="8">
        <v>0</v>
      </c>
      <c r="G68" s="8">
        <v>59</v>
      </c>
      <c r="H68" s="8">
        <v>0</v>
      </c>
      <c r="I68" s="9">
        <v>0</v>
      </c>
      <c r="J68" s="8">
        <v>0</v>
      </c>
      <c r="K68" s="9">
        <v>0</v>
      </c>
      <c r="L68" s="8">
        <v>9</v>
      </c>
      <c r="M68" s="9">
        <v>1.1710000000000002E-2</v>
      </c>
      <c r="N68" s="8">
        <v>0</v>
      </c>
      <c r="O68" s="9">
        <v>0</v>
      </c>
      <c r="P68" s="8">
        <v>0</v>
      </c>
      <c r="Q68" s="9">
        <v>0</v>
      </c>
      <c r="R68" s="8">
        <v>0</v>
      </c>
      <c r="S68" s="9">
        <v>0</v>
      </c>
    </row>
    <row r="69" spans="2:19" ht="25.5" x14ac:dyDescent="0.25">
      <c r="B69" s="4">
        <v>22</v>
      </c>
      <c r="C69" s="7" t="s">
        <v>109</v>
      </c>
      <c r="D69" s="8">
        <v>80605</v>
      </c>
      <c r="E69" s="8">
        <v>50</v>
      </c>
      <c r="F69" s="8">
        <v>80389</v>
      </c>
      <c r="G69" s="8">
        <v>17</v>
      </c>
      <c r="H69" s="8">
        <v>16365</v>
      </c>
      <c r="I69" s="9">
        <v>127877.41102</v>
      </c>
      <c r="J69" s="8">
        <v>0</v>
      </c>
      <c r="K69" s="9">
        <v>0</v>
      </c>
      <c r="L69" s="8">
        <v>6</v>
      </c>
      <c r="M69" s="9">
        <v>1.0509999999999999</v>
      </c>
      <c r="N69" s="8">
        <v>1</v>
      </c>
      <c r="O69" s="9">
        <v>2.5999999999999999E-2</v>
      </c>
      <c r="P69" s="8">
        <v>13</v>
      </c>
      <c r="Q69" s="9">
        <v>18.8</v>
      </c>
      <c r="R69" s="8">
        <v>0</v>
      </c>
      <c r="S69" s="9">
        <v>0</v>
      </c>
    </row>
    <row r="70" spans="2:19" x14ac:dyDescent="0.25">
      <c r="B70" s="4">
        <v>23</v>
      </c>
      <c r="C70" s="7" t="s">
        <v>54</v>
      </c>
      <c r="D70" s="8">
        <v>0</v>
      </c>
      <c r="E70" s="8">
        <v>67956</v>
      </c>
      <c r="F70" s="8">
        <v>0</v>
      </c>
      <c r="G70" s="8">
        <v>10</v>
      </c>
      <c r="H70" s="5">
        <v>0</v>
      </c>
      <c r="I70" s="6">
        <v>0</v>
      </c>
      <c r="J70" s="8">
        <v>0</v>
      </c>
      <c r="K70" s="9">
        <v>0</v>
      </c>
      <c r="L70" s="8">
        <v>0</v>
      </c>
      <c r="M70" s="9">
        <v>0</v>
      </c>
      <c r="N70" s="8">
        <v>0</v>
      </c>
      <c r="O70" s="9">
        <v>0</v>
      </c>
      <c r="P70" s="8">
        <v>0</v>
      </c>
      <c r="Q70" s="9">
        <v>0</v>
      </c>
      <c r="R70" s="8">
        <v>0</v>
      </c>
      <c r="S70" s="9">
        <v>0</v>
      </c>
    </row>
    <row r="71" spans="2:19" x14ac:dyDescent="0.25">
      <c r="B71" s="4">
        <v>24</v>
      </c>
      <c r="C71" s="7" t="s">
        <v>55</v>
      </c>
      <c r="D71" s="8">
        <v>12284</v>
      </c>
      <c r="E71" s="8">
        <v>1835</v>
      </c>
      <c r="F71" s="8">
        <v>7742</v>
      </c>
      <c r="G71" s="8">
        <v>1834</v>
      </c>
      <c r="H71" s="8">
        <v>68057</v>
      </c>
      <c r="I71" s="9">
        <v>85292.098169999954</v>
      </c>
      <c r="J71" s="8">
        <v>79381</v>
      </c>
      <c r="K71" s="9">
        <v>162618.83321000007</v>
      </c>
      <c r="L71" s="8">
        <v>21911</v>
      </c>
      <c r="M71" s="9">
        <v>32050.213020000025</v>
      </c>
      <c r="N71" s="8">
        <v>25974</v>
      </c>
      <c r="O71" s="9">
        <v>53003.574370000002</v>
      </c>
      <c r="P71" s="8">
        <v>0</v>
      </c>
      <c r="Q71" s="9">
        <v>0</v>
      </c>
      <c r="R71" s="8">
        <v>0</v>
      </c>
      <c r="S71" s="9">
        <v>0</v>
      </c>
    </row>
    <row r="72" spans="2:19" ht="25.5" x14ac:dyDescent="0.25">
      <c r="B72" s="4">
        <v>25</v>
      </c>
      <c r="C72" s="7" t="s">
        <v>91</v>
      </c>
      <c r="D72" s="8">
        <v>0</v>
      </c>
      <c r="E72" s="8">
        <v>79794636</v>
      </c>
      <c r="F72" s="8">
        <v>0</v>
      </c>
      <c r="G72" s="8">
        <v>523798</v>
      </c>
      <c r="H72" s="5">
        <v>0</v>
      </c>
      <c r="I72" s="6">
        <v>0</v>
      </c>
      <c r="J72" s="8">
        <v>0</v>
      </c>
      <c r="K72" s="9">
        <v>0</v>
      </c>
      <c r="L72" s="8">
        <v>32348</v>
      </c>
      <c r="M72" s="9">
        <v>32337.572219999998</v>
      </c>
      <c r="N72" s="8">
        <v>181</v>
      </c>
      <c r="O72" s="9">
        <v>98.872070000000008</v>
      </c>
      <c r="P72" s="8">
        <v>0</v>
      </c>
      <c r="Q72" s="9">
        <v>0</v>
      </c>
      <c r="R72" s="8">
        <v>0</v>
      </c>
      <c r="S72" s="9">
        <v>0</v>
      </c>
    </row>
    <row r="73" spans="2:19" x14ac:dyDescent="0.25">
      <c r="B73" s="4">
        <v>26</v>
      </c>
      <c r="C73" s="7" t="s">
        <v>56</v>
      </c>
      <c r="D73" s="8">
        <v>0</v>
      </c>
      <c r="E73" s="8">
        <v>147832734</v>
      </c>
      <c r="F73" s="8">
        <v>0</v>
      </c>
      <c r="G73" s="8">
        <v>5612925</v>
      </c>
      <c r="H73" s="8">
        <v>0</v>
      </c>
      <c r="I73" s="9">
        <v>0</v>
      </c>
      <c r="J73" s="8">
        <v>0</v>
      </c>
      <c r="K73" s="9">
        <v>0</v>
      </c>
      <c r="L73" s="8">
        <v>29759254</v>
      </c>
      <c r="M73" s="9">
        <v>25394100.596049998</v>
      </c>
      <c r="N73" s="8">
        <v>1527627</v>
      </c>
      <c r="O73" s="9">
        <v>12297917.67867</v>
      </c>
      <c r="P73" s="8">
        <v>0</v>
      </c>
      <c r="Q73" s="9">
        <v>0</v>
      </c>
      <c r="R73" s="8">
        <v>0</v>
      </c>
      <c r="S73" s="9">
        <v>0</v>
      </c>
    </row>
    <row r="74" spans="2:19" ht="25.5" x14ac:dyDescent="0.25">
      <c r="B74" s="4">
        <v>27</v>
      </c>
      <c r="C74" s="7" t="s">
        <v>92</v>
      </c>
      <c r="D74" s="8">
        <v>57067</v>
      </c>
      <c r="E74" s="8">
        <v>64035</v>
      </c>
      <c r="F74" s="8">
        <v>3917</v>
      </c>
      <c r="G74" s="8">
        <v>1675</v>
      </c>
      <c r="H74" s="5">
        <v>578</v>
      </c>
      <c r="I74" s="6">
        <v>542.26300000000003</v>
      </c>
      <c r="J74" s="8">
        <v>313</v>
      </c>
      <c r="K74" s="9">
        <v>561.17200000000003</v>
      </c>
      <c r="L74" s="8">
        <v>1137</v>
      </c>
      <c r="M74" s="9">
        <v>788.23099999999999</v>
      </c>
      <c r="N74" s="8">
        <v>34</v>
      </c>
      <c r="O74" s="9">
        <v>64.328000000000003</v>
      </c>
      <c r="P74" s="8">
        <v>0</v>
      </c>
      <c r="Q74" s="9">
        <v>0</v>
      </c>
      <c r="R74" s="8">
        <v>0</v>
      </c>
      <c r="S74" s="9">
        <v>0</v>
      </c>
    </row>
    <row r="75" spans="2:19" x14ac:dyDescent="0.25">
      <c r="B75" s="4">
        <v>28</v>
      </c>
      <c r="C75" s="7" t="s">
        <v>93</v>
      </c>
      <c r="D75" s="8">
        <v>11453</v>
      </c>
      <c r="E75" s="8">
        <v>1694743</v>
      </c>
      <c r="F75" s="8">
        <v>5292</v>
      </c>
      <c r="G75" s="8">
        <v>1256505</v>
      </c>
      <c r="H75" s="5">
        <v>52077</v>
      </c>
      <c r="I75" s="6">
        <v>280466.79070000001</v>
      </c>
      <c r="J75" s="8">
        <v>0</v>
      </c>
      <c r="K75" s="9">
        <v>0</v>
      </c>
      <c r="L75" s="8">
        <v>409261</v>
      </c>
      <c r="M75" s="9">
        <v>743812.23043999868</v>
      </c>
      <c r="N75" s="8">
        <v>1372224</v>
      </c>
      <c r="O75" s="9">
        <v>9685927.9481800087</v>
      </c>
      <c r="P75" s="8">
        <v>0</v>
      </c>
      <c r="Q75" s="9">
        <v>0</v>
      </c>
      <c r="R75" s="8">
        <v>2099</v>
      </c>
      <c r="S75" s="9">
        <v>2707.6030000000001</v>
      </c>
    </row>
    <row r="76" spans="2:19" x14ac:dyDescent="0.25">
      <c r="B76" s="4">
        <v>29</v>
      </c>
      <c r="C76" s="7" t="s">
        <v>57</v>
      </c>
      <c r="D76" s="8">
        <v>0</v>
      </c>
      <c r="E76" s="8">
        <v>12309613</v>
      </c>
      <c r="F76" s="8">
        <v>0</v>
      </c>
      <c r="G76" s="8">
        <v>49106</v>
      </c>
      <c r="H76" s="8">
        <v>0</v>
      </c>
      <c r="I76" s="9">
        <v>0</v>
      </c>
      <c r="J76" s="8">
        <v>0</v>
      </c>
      <c r="K76" s="9">
        <v>0</v>
      </c>
      <c r="L76" s="8">
        <v>2411</v>
      </c>
      <c r="M76" s="9">
        <v>1683.4750499999998</v>
      </c>
      <c r="N76" s="8">
        <v>2380</v>
      </c>
      <c r="O76" s="9">
        <v>7205.3966300000002</v>
      </c>
      <c r="P76" s="8">
        <v>0</v>
      </c>
      <c r="Q76" s="9">
        <v>0</v>
      </c>
      <c r="R76" s="8">
        <v>0</v>
      </c>
      <c r="S76" s="9">
        <v>0</v>
      </c>
    </row>
    <row r="77" spans="2:19" ht="25.5" x14ac:dyDescent="0.25">
      <c r="B77" s="4">
        <v>30</v>
      </c>
      <c r="C77" s="7" t="s">
        <v>112</v>
      </c>
      <c r="D77" s="8">
        <v>6606</v>
      </c>
      <c r="E77" s="8">
        <v>1083590987</v>
      </c>
      <c r="F77" s="8">
        <v>6606</v>
      </c>
      <c r="G77" s="8">
        <v>892158574</v>
      </c>
      <c r="H77" s="5">
        <v>51663</v>
      </c>
      <c r="I77" s="6">
        <v>2312.3184999999999</v>
      </c>
      <c r="J77" s="8">
        <v>0</v>
      </c>
      <c r="K77" s="9">
        <v>0</v>
      </c>
      <c r="L77" s="8">
        <v>78421575</v>
      </c>
      <c r="M77" s="9">
        <v>3311087.25171</v>
      </c>
      <c r="N77" s="8">
        <v>5800469</v>
      </c>
      <c r="O77" s="9">
        <v>9579556.3867700007</v>
      </c>
      <c r="P77" s="8">
        <v>0</v>
      </c>
      <c r="Q77" s="9">
        <v>0</v>
      </c>
      <c r="R77" s="8">
        <v>0</v>
      </c>
      <c r="S77" s="9">
        <v>0</v>
      </c>
    </row>
    <row r="78" spans="2:19" ht="25.5" x14ac:dyDescent="0.25">
      <c r="B78" s="4">
        <v>31</v>
      </c>
      <c r="C78" s="7" t="s">
        <v>113</v>
      </c>
      <c r="D78" s="8">
        <v>302502915</v>
      </c>
      <c r="E78" s="8">
        <v>279859</v>
      </c>
      <c r="F78" s="8">
        <v>150787612</v>
      </c>
      <c r="G78" s="8">
        <v>190496</v>
      </c>
      <c r="H78" s="8">
        <v>65979807</v>
      </c>
      <c r="I78" s="9">
        <v>22671854.076090001</v>
      </c>
      <c r="J78" s="8">
        <v>2098</v>
      </c>
      <c r="K78" s="9">
        <v>238.17468</v>
      </c>
      <c r="L78" s="8">
        <v>2998</v>
      </c>
      <c r="M78" s="9">
        <v>2075.7307799999999</v>
      </c>
      <c r="N78" s="8">
        <v>61515</v>
      </c>
      <c r="O78" s="9">
        <v>1131746.6580000001</v>
      </c>
      <c r="P78" s="8">
        <v>502</v>
      </c>
      <c r="Q78" s="9">
        <v>809.9</v>
      </c>
      <c r="R78" s="8">
        <v>0</v>
      </c>
      <c r="S78" s="9">
        <v>0</v>
      </c>
    </row>
    <row r="79" spans="2:19" ht="25.5" x14ac:dyDescent="0.25">
      <c r="B79" s="4">
        <v>32</v>
      </c>
      <c r="C79" s="7" t="s">
        <v>96</v>
      </c>
      <c r="D79" s="8">
        <v>7252356</v>
      </c>
      <c r="E79" s="8">
        <v>0</v>
      </c>
      <c r="F79" s="8">
        <v>2586583</v>
      </c>
      <c r="G79" s="8">
        <v>0</v>
      </c>
      <c r="H79" s="8">
        <v>7956501</v>
      </c>
      <c r="I79" s="9">
        <v>2860017.9952800069</v>
      </c>
      <c r="J79" s="8">
        <v>30323</v>
      </c>
      <c r="K79" s="9">
        <v>321411.91324999998</v>
      </c>
      <c r="L79" s="8">
        <v>0</v>
      </c>
      <c r="M79" s="9">
        <v>0</v>
      </c>
      <c r="N79" s="8">
        <v>0</v>
      </c>
      <c r="O79" s="9">
        <v>0</v>
      </c>
      <c r="P79" s="8">
        <v>0</v>
      </c>
      <c r="Q79" s="9">
        <v>0</v>
      </c>
      <c r="R79" s="8">
        <v>0</v>
      </c>
      <c r="S79" s="9">
        <v>0</v>
      </c>
    </row>
    <row r="80" spans="2:19" ht="25.5" x14ac:dyDescent="0.25">
      <c r="B80" s="4">
        <v>33</v>
      </c>
      <c r="C80" s="7" t="s">
        <v>111</v>
      </c>
      <c r="D80" s="8">
        <v>19085</v>
      </c>
      <c r="E80" s="8">
        <v>19852</v>
      </c>
      <c r="F80" s="8">
        <v>0</v>
      </c>
      <c r="G80" s="8">
        <v>19852</v>
      </c>
      <c r="H80" s="5">
        <v>0</v>
      </c>
      <c r="I80" s="6">
        <v>0</v>
      </c>
      <c r="J80" s="8">
        <v>0</v>
      </c>
      <c r="K80" s="9">
        <v>0</v>
      </c>
      <c r="L80" s="8">
        <v>1790</v>
      </c>
      <c r="M80" s="9">
        <v>4336.0645500000001</v>
      </c>
      <c r="N80" s="8">
        <v>2438</v>
      </c>
      <c r="O80" s="9">
        <v>23471.37542</v>
      </c>
      <c r="P80" s="8">
        <v>0</v>
      </c>
      <c r="Q80" s="9">
        <v>0</v>
      </c>
      <c r="R80" s="8">
        <v>0</v>
      </c>
      <c r="S80" s="9">
        <v>0</v>
      </c>
    </row>
    <row r="81" spans="2:19" x14ac:dyDescent="0.25">
      <c r="B81" s="4">
        <v>34</v>
      </c>
      <c r="C81" s="7" t="s">
        <v>58</v>
      </c>
      <c r="D81" s="8">
        <v>2343073</v>
      </c>
      <c r="E81" s="8">
        <v>1326</v>
      </c>
      <c r="F81" s="8">
        <v>2318572</v>
      </c>
      <c r="G81" s="8">
        <v>1325</v>
      </c>
      <c r="H81" s="5">
        <v>86396</v>
      </c>
      <c r="I81" s="6">
        <v>436633.49</v>
      </c>
      <c r="J81" s="8">
        <v>0</v>
      </c>
      <c r="K81" s="9">
        <v>0</v>
      </c>
      <c r="L81" s="8">
        <v>104</v>
      </c>
      <c r="M81" s="9">
        <v>109.726</v>
      </c>
      <c r="N81" s="8">
        <v>0</v>
      </c>
      <c r="O81" s="9">
        <v>0</v>
      </c>
      <c r="P81" s="8">
        <v>29</v>
      </c>
      <c r="Q81" s="9">
        <v>39.700000000000003</v>
      </c>
      <c r="R81" s="8">
        <v>0</v>
      </c>
      <c r="S81" s="9">
        <v>0</v>
      </c>
    </row>
    <row r="82" spans="2:19" ht="25.5" x14ac:dyDescent="0.25">
      <c r="B82" s="4">
        <v>35</v>
      </c>
      <c r="C82" s="7" t="s">
        <v>94</v>
      </c>
      <c r="D82" s="8">
        <v>0</v>
      </c>
      <c r="E82" s="8">
        <v>129867</v>
      </c>
      <c r="F82" s="8">
        <v>0</v>
      </c>
      <c r="G82" s="8">
        <v>83088</v>
      </c>
      <c r="H82" s="5">
        <v>0</v>
      </c>
      <c r="I82" s="6">
        <v>0</v>
      </c>
      <c r="J82" s="8">
        <v>0</v>
      </c>
      <c r="K82" s="9">
        <v>0</v>
      </c>
      <c r="L82" s="8">
        <v>424653</v>
      </c>
      <c r="M82" s="9">
        <v>113849.147</v>
      </c>
      <c r="N82" s="8">
        <v>241140</v>
      </c>
      <c r="O82" s="9">
        <v>298361.60200000001</v>
      </c>
      <c r="P82" s="8">
        <v>0</v>
      </c>
      <c r="Q82" s="9">
        <v>0</v>
      </c>
      <c r="R82" s="8">
        <v>0</v>
      </c>
      <c r="S82" s="9">
        <v>0</v>
      </c>
    </row>
    <row r="83" spans="2:19" x14ac:dyDescent="0.25">
      <c r="B83" s="4">
        <v>36</v>
      </c>
      <c r="C83" s="7" t="s">
        <v>59</v>
      </c>
      <c r="D83" s="8">
        <v>0</v>
      </c>
      <c r="E83" s="8">
        <v>41588170</v>
      </c>
      <c r="F83" s="8">
        <v>0</v>
      </c>
      <c r="G83" s="8">
        <v>33780109</v>
      </c>
      <c r="H83" s="5">
        <v>0</v>
      </c>
      <c r="I83" s="6">
        <v>0</v>
      </c>
      <c r="J83" s="8">
        <v>0</v>
      </c>
      <c r="K83" s="9">
        <v>0</v>
      </c>
      <c r="L83" s="8">
        <v>5694147</v>
      </c>
      <c r="M83" s="9">
        <v>2028563.93303</v>
      </c>
      <c r="N83" s="8">
        <v>2172</v>
      </c>
      <c r="O83" s="9">
        <v>48651.889000000003</v>
      </c>
      <c r="P83" s="8">
        <v>0</v>
      </c>
      <c r="Q83" s="9">
        <v>0</v>
      </c>
      <c r="R83" s="8">
        <v>0</v>
      </c>
      <c r="S83" s="9">
        <v>0</v>
      </c>
    </row>
    <row r="84" spans="2:19" x14ac:dyDescent="0.25">
      <c r="B84" s="4">
        <v>37</v>
      </c>
      <c r="C84" s="7" t="s">
        <v>95</v>
      </c>
      <c r="D84" s="8">
        <v>0</v>
      </c>
      <c r="E84" s="8">
        <v>1100917</v>
      </c>
      <c r="F84" s="8">
        <v>0</v>
      </c>
      <c r="G84" s="8">
        <v>337021</v>
      </c>
      <c r="H84" s="5">
        <v>0</v>
      </c>
      <c r="I84" s="6">
        <v>0</v>
      </c>
      <c r="J84" s="8">
        <v>0</v>
      </c>
      <c r="K84" s="9">
        <v>0</v>
      </c>
      <c r="L84" s="8">
        <v>320</v>
      </c>
      <c r="M84" s="9">
        <v>1042.4000000000001</v>
      </c>
      <c r="N84" s="8">
        <v>115460</v>
      </c>
      <c r="O84" s="9">
        <v>108515.46408999996</v>
      </c>
      <c r="P84" s="8">
        <v>0</v>
      </c>
      <c r="Q84" s="9">
        <v>0</v>
      </c>
      <c r="R84" s="8">
        <v>0</v>
      </c>
      <c r="S84" s="9">
        <v>0</v>
      </c>
    </row>
    <row r="85" spans="2:19" x14ac:dyDescent="0.25">
      <c r="B85" s="4">
        <v>38</v>
      </c>
      <c r="C85" s="7" t="s">
        <v>60</v>
      </c>
      <c r="D85" s="8">
        <v>0</v>
      </c>
      <c r="E85" s="8">
        <v>49983</v>
      </c>
      <c r="F85" s="8">
        <v>0</v>
      </c>
      <c r="G85" s="8">
        <v>40230</v>
      </c>
      <c r="H85" s="5">
        <v>0</v>
      </c>
      <c r="I85" s="6">
        <v>0</v>
      </c>
      <c r="J85" s="8">
        <v>0</v>
      </c>
      <c r="K85" s="9">
        <v>0</v>
      </c>
      <c r="L85" s="8">
        <v>190812</v>
      </c>
      <c r="M85" s="9">
        <v>53098.196209999856</v>
      </c>
      <c r="N85" s="8">
        <v>219769</v>
      </c>
      <c r="O85" s="9">
        <v>308903.03653000266</v>
      </c>
      <c r="P85" s="8">
        <v>0</v>
      </c>
      <c r="Q85" s="9">
        <v>0</v>
      </c>
      <c r="R85" s="8">
        <v>986</v>
      </c>
      <c r="S85" s="9">
        <v>1485.8820000000001</v>
      </c>
    </row>
    <row r="86" spans="2:19" x14ac:dyDescent="0.25">
      <c r="B86" s="4">
        <v>39</v>
      </c>
      <c r="C86" s="7" t="s">
        <v>103</v>
      </c>
      <c r="D86" s="8">
        <v>0</v>
      </c>
      <c r="E86" s="8">
        <v>1863</v>
      </c>
      <c r="F86" s="8">
        <v>0</v>
      </c>
      <c r="G86" s="8">
        <v>1668</v>
      </c>
      <c r="H86" s="8">
        <v>0</v>
      </c>
      <c r="I86" s="9">
        <v>0</v>
      </c>
      <c r="J86" s="8">
        <v>0</v>
      </c>
      <c r="K86" s="9">
        <v>0</v>
      </c>
      <c r="L86" s="8">
        <v>74</v>
      </c>
      <c r="M86" s="9">
        <v>99.57383999999999</v>
      </c>
      <c r="N86" s="8">
        <v>0</v>
      </c>
      <c r="O86" s="9">
        <v>0</v>
      </c>
      <c r="P86" s="8">
        <v>0</v>
      </c>
      <c r="Q86" s="9">
        <v>0</v>
      </c>
      <c r="R86" s="8">
        <v>0</v>
      </c>
      <c r="S86" s="9">
        <v>0</v>
      </c>
    </row>
    <row r="87" spans="2:19" x14ac:dyDescent="0.25">
      <c r="B87" s="4">
        <v>40</v>
      </c>
      <c r="C87" s="7" t="s">
        <v>97</v>
      </c>
      <c r="D87" s="8">
        <v>12816</v>
      </c>
      <c r="E87" s="8">
        <v>3522784</v>
      </c>
      <c r="F87" s="8">
        <v>12816</v>
      </c>
      <c r="G87" s="8">
        <v>482414</v>
      </c>
      <c r="H87" s="8">
        <v>8394</v>
      </c>
      <c r="I87" s="9">
        <v>35671.629000000001</v>
      </c>
      <c r="J87" s="8">
        <v>0</v>
      </c>
      <c r="K87" s="9">
        <v>0</v>
      </c>
      <c r="L87" s="8">
        <v>184525</v>
      </c>
      <c r="M87" s="9">
        <v>80705.9978099828</v>
      </c>
      <c r="N87" s="8">
        <v>449511</v>
      </c>
      <c r="O87" s="9">
        <v>2926777.6120099998</v>
      </c>
      <c r="P87" s="8">
        <v>0</v>
      </c>
      <c r="Q87" s="9">
        <v>0</v>
      </c>
      <c r="R87" s="8">
        <v>91</v>
      </c>
      <c r="S87" s="9">
        <v>51.21</v>
      </c>
    </row>
    <row r="88" spans="2:19" x14ac:dyDescent="0.25">
      <c r="B88" s="4">
        <v>41</v>
      </c>
      <c r="C88" s="7" t="s">
        <v>61</v>
      </c>
      <c r="D88" s="8">
        <v>5298096</v>
      </c>
      <c r="E88" s="8">
        <v>13042</v>
      </c>
      <c r="F88" s="8">
        <v>2239125</v>
      </c>
      <c r="G88" s="8">
        <v>6555</v>
      </c>
      <c r="H88" s="8">
        <v>789506</v>
      </c>
      <c r="I88" s="9">
        <v>6345131.3663100032</v>
      </c>
      <c r="J88" s="8">
        <v>104740</v>
      </c>
      <c r="K88" s="9">
        <v>1069106.3789200005</v>
      </c>
      <c r="L88" s="8">
        <v>83529</v>
      </c>
      <c r="M88" s="9">
        <v>72894.703120000282</v>
      </c>
      <c r="N88" s="8">
        <v>1249</v>
      </c>
      <c r="O88" s="9">
        <v>2536.0675499999998</v>
      </c>
      <c r="P88" s="8">
        <v>2795</v>
      </c>
      <c r="Q88" s="9">
        <v>3062.826</v>
      </c>
      <c r="R88" s="8">
        <v>0</v>
      </c>
      <c r="S88" s="9">
        <v>0</v>
      </c>
    </row>
    <row r="89" spans="2:19" x14ac:dyDescent="0.25">
      <c r="B89" s="4">
        <v>42</v>
      </c>
      <c r="C89" s="7" t="s">
        <v>62</v>
      </c>
      <c r="D89" s="8">
        <v>0</v>
      </c>
      <c r="E89" s="8">
        <v>3525452</v>
      </c>
      <c r="F89" s="8">
        <v>0</v>
      </c>
      <c r="G89" s="8">
        <v>213590</v>
      </c>
      <c r="H89" s="8">
        <v>0</v>
      </c>
      <c r="I89" s="9">
        <v>0</v>
      </c>
      <c r="J89" s="8">
        <v>0</v>
      </c>
      <c r="K89" s="9">
        <v>0</v>
      </c>
      <c r="L89" s="8">
        <v>229751</v>
      </c>
      <c r="M89" s="9">
        <v>93591.018890000007</v>
      </c>
      <c r="N89" s="8">
        <v>233</v>
      </c>
      <c r="O89" s="9">
        <v>387.74</v>
      </c>
      <c r="P89" s="8">
        <v>0</v>
      </c>
      <c r="Q89" s="9">
        <v>0</v>
      </c>
      <c r="R89" s="8">
        <v>0</v>
      </c>
      <c r="S89" s="9">
        <v>0</v>
      </c>
    </row>
    <row r="90" spans="2:19" x14ac:dyDescent="0.25">
      <c r="B90" s="4">
        <v>43</v>
      </c>
      <c r="C90" s="7" t="s">
        <v>98</v>
      </c>
      <c r="D90" s="8">
        <v>0</v>
      </c>
      <c r="E90" s="8">
        <v>16140438</v>
      </c>
      <c r="F90" s="8">
        <v>0</v>
      </c>
      <c r="G90" s="8">
        <v>9785562</v>
      </c>
      <c r="H90" s="8">
        <v>0</v>
      </c>
      <c r="I90" s="9">
        <v>0</v>
      </c>
      <c r="J90" s="8">
        <v>0</v>
      </c>
      <c r="K90" s="9">
        <v>0</v>
      </c>
      <c r="L90" s="8">
        <v>115061570</v>
      </c>
      <c r="M90" s="9">
        <v>9846126.3359999992</v>
      </c>
      <c r="N90" s="8">
        <v>55760623</v>
      </c>
      <c r="O90" s="9">
        <v>11432548.651000001</v>
      </c>
      <c r="P90" s="8">
        <v>13946</v>
      </c>
      <c r="Q90" s="9">
        <v>15185.2</v>
      </c>
      <c r="R90" s="8">
        <v>0</v>
      </c>
      <c r="S90" s="9">
        <v>0</v>
      </c>
    </row>
    <row r="91" spans="2:19" x14ac:dyDescent="0.25">
      <c r="B91" s="4">
        <v>44</v>
      </c>
      <c r="C91" s="7" t="s">
        <v>121</v>
      </c>
      <c r="D91" s="8">
        <v>0</v>
      </c>
      <c r="E91" s="8">
        <v>10</v>
      </c>
      <c r="F91" s="8">
        <v>0</v>
      </c>
      <c r="G91" s="8">
        <v>10</v>
      </c>
      <c r="H91" s="8">
        <v>0</v>
      </c>
      <c r="I91" s="9">
        <v>0</v>
      </c>
      <c r="J91" s="8">
        <v>0</v>
      </c>
      <c r="K91" s="9">
        <v>0</v>
      </c>
      <c r="L91" s="8">
        <v>0</v>
      </c>
      <c r="M91" s="9">
        <v>0</v>
      </c>
      <c r="N91" s="8">
        <v>0</v>
      </c>
      <c r="O91" s="9">
        <v>0</v>
      </c>
      <c r="P91" s="8">
        <v>0</v>
      </c>
      <c r="Q91" s="9">
        <v>0</v>
      </c>
      <c r="R91" s="8">
        <v>0</v>
      </c>
      <c r="S91" s="9">
        <v>0</v>
      </c>
    </row>
    <row r="92" spans="2:19" ht="38.25" x14ac:dyDescent="0.25">
      <c r="B92" s="4">
        <v>45</v>
      </c>
      <c r="C92" s="7" t="s">
        <v>99</v>
      </c>
      <c r="D92" s="8">
        <v>0</v>
      </c>
      <c r="E92" s="8">
        <v>9</v>
      </c>
      <c r="F92" s="8">
        <v>0</v>
      </c>
      <c r="G92" s="8">
        <v>9</v>
      </c>
      <c r="H92" s="8">
        <v>0</v>
      </c>
      <c r="I92" s="9">
        <v>0</v>
      </c>
      <c r="J92" s="8">
        <v>0</v>
      </c>
      <c r="K92" s="9">
        <v>0</v>
      </c>
      <c r="L92" s="8">
        <v>0</v>
      </c>
      <c r="M92" s="9">
        <v>0</v>
      </c>
      <c r="N92" s="8">
        <v>0</v>
      </c>
      <c r="O92" s="9">
        <v>0</v>
      </c>
      <c r="P92" s="8">
        <v>0</v>
      </c>
      <c r="Q92" s="9">
        <v>0</v>
      </c>
      <c r="R92" s="8">
        <v>0</v>
      </c>
      <c r="S92" s="9">
        <v>0</v>
      </c>
    </row>
    <row r="93" spans="2:19" ht="38.25" x14ac:dyDescent="0.25">
      <c r="B93" s="4">
        <v>46</v>
      </c>
      <c r="C93" s="7" t="s">
        <v>119</v>
      </c>
      <c r="D93" s="8">
        <v>0</v>
      </c>
      <c r="E93" s="8">
        <v>3682</v>
      </c>
      <c r="F93" s="8">
        <v>0</v>
      </c>
      <c r="G93" s="8">
        <v>3196</v>
      </c>
      <c r="H93" s="8">
        <v>0</v>
      </c>
      <c r="I93" s="9">
        <v>0</v>
      </c>
      <c r="J93" s="8">
        <v>0</v>
      </c>
      <c r="K93" s="9">
        <v>0</v>
      </c>
      <c r="L93" s="8">
        <v>2570</v>
      </c>
      <c r="M93" s="9">
        <v>767.98851999999999</v>
      </c>
      <c r="N93" s="8">
        <v>1863</v>
      </c>
      <c r="O93" s="9">
        <v>3965.0445099999997</v>
      </c>
      <c r="P93" s="8">
        <v>0</v>
      </c>
      <c r="Q93" s="9">
        <v>0</v>
      </c>
      <c r="R93" s="8">
        <v>0</v>
      </c>
      <c r="S93" s="9">
        <v>0</v>
      </c>
    </row>
    <row r="94" spans="2:19" x14ac:dyDescent="0.25">
      <c r="B94" s="29" t="s">
        <v>63</v>
      </c>
      <c r="C94" s="30"/>
      <c r="D94" s="10">
        <f t="shared" ref="D94:S94" si="0">SUM(D8:D46,D48:D93)</f>
        <v>474239455</v>
      </c>
      <c r="E94" s="10">
        <f t="shared" si="0"/>
        <v>1793053467</v>
      </c>
      <c r="F94" s="10">
        <f t="shared" si="0"/>
        <v>217828642</v>
      </c>
      <c r="G94" s="10">
        <f t="shared" si="0"/>
        <v>1054050103</v>
      </c>
      <c r="H94" s="10">
        <f t="shared" si="0"/>
        <v>170414183</v>
      </c>
      <c r="I94" s="10">
        <f t="shared" si="0"/>
        <v>59555549.862829648</v>
      </c>
      <c r="J94" s="10">
        <f t="shared" si="0"/>
        <v>303782</v>
      </c>
      <c r="K94" s="10">
        <f t="shared" si="0"/>
        <v>1840863.5370300007</v>
      </c>
      <c r="L94" s="10">
        <f t="shared" si="0"/>
        <v>587667389</v>
      </c>
      <c r="M94" s="10">
        <f t="shared" si="0"/>
        <v>116974325.08893152</v>
      </c>
      <c r="N94" s="10">
        <f t="shared" si="0"/>
        <v>77538416</v>
      </c>
      <c r="O94" s="10">
        <f t="shared" si="0"/>
        <v>81319568.845109999</v>
      </c>
      <c r="P94" s="10">
        <f t="shared" si="0"/>
        <v>1688785</v>
      </c>
      <c r="Q94" s="10">
        <f t="shared" si="0"/>
        <v>8594228.6601900011</v>
      </c>
      <c r="R94" s="10">
        <f t="shared" si="0"/>
        <v>3176</v>
      </c>
      <c r="S94" s="10">
        <f t="shared" si="0"/>
        <v>4244.6950000000006</v>
      </c>
    </row>
    <row r="95" spans="2:19" x14ac:dyDescent="0.25">
      <c r="B95" s="16"/>
      <c r="C95" s="17"/>
      <c r="D95" s="18"/>
      <c r="E95" s="18"/>
      <c r="F95" s="18"/>
      <c r="G95" s="18"/>
      <c r="H95" s="19"/>
      <c r="I95" s="20"/>
      <c r="J95" s="18"/>
      <c r="K95" s="21"/>
      <c r="L95" s="18"/>
      <c r="M95" s="21"/>
      <c r="N95" s="18"/>
      <c r="O95" s="21"/>
      <c r="P95" s="18"/>
      <c r="Q95" s="21"/>
      <c r="R95" s="18"/>
      <c r="S95" s="22"/>
    </row>
    <row r="96" spans="2:19" ht="15" customHeight="1" x14ac:dyDescent="0.25">
      <c r="B96" s="33" t="s">
        <v>120</v>
      </c>
      <c r="C96" s="34"/>
      <c r="D96" s="34"/>
      <c r="E96" s="34"/>
      <c r="F96" s="34"/>
      <c r="G96" s="34"/>
      <c r="H96" s="34"/>
      <c r="I96" s="34"/>
      <c r="J96" s="34"/>
      <c r="K96" s="34"/>
      <c r="L96" s="34"/>
      <c r="M96" s="34"/>
      <c r="N96" s="34"/>
      <c r="O96" s="34"/>
      <c r="P96" s="34"/>
      <c r="Q96" s="34"/>
      <c r="R96" s="34"/>
      <c r="S96" s="35"/>
    </row>
    <row r="97" spans="2:19" x14ac:dyDescent="0.25">
      <c r="B97" s="11">
        <v>1</v>
      </c>
      <c r="C97" s="28" t="s">
        <v>64</v>
      </c>
      <c r="D97" s="28"/>
      <c r="E97" s="28"/>
      <c r="F97" s="28"/>
      <c r="G97" s="28"/>
      <c r="H97" s="28"/>
      <c r="I97" s="28"/>
      <c r="J97" s="28"/>
      <c r="K97" s="28"/>
      <c r="L97" s="28"/>
      <c r="M97" s="28"/>
      <c r="N97" s="28"/>
      <c r="O97" s="28"/>
      <c r="P97" s="28"/>
      <c r="Q97" s="28"/>
      <c r="R97" s="28"/>
      <c r="S97" s="28"/>
    </row>
    <row r="98" spans="2:19" ht="14.45" customHeight="1" x14ac:dyDescent="0.25">
      <c r="B98" s="11">
        <v>2</v>
      </c>
      <c r="C98" s="28" t="s">
        <v>65</v>
      </c>
      <c r="D98" s="28"/>
      <c r="E98" s="28"/>
      <c r="F98" s="28"/>
      <c r="G98" s="28"/>
      <c r="H98" s="28"/>
      <c r="I98" s="28"/>
      <c r="J98" s="28"/>
      <c r="K98" s="28"/>
      <c r="L98" s="28"/>
      <c r="M98" s="28"/>
      <c r="N98" s="28"/>
      <c r="O98" s="28"/>
      <c r="P98" s="28"/>
      <c r="Q98" s="28"/>
      <c r="R98" s="28"/>
      <c r="S98" s="28"/>
    </row>
    <row r="99" spans="2:19" ht="14.45" customHeight="1" x14ac:dyDescent="0.25">
      <c r="B99" s="11">
        <v>3</v>
      </c>
      <c r="C99" s="28" t="s">
        <v>116</v>
      </c>
      <c r="D99" s="28"/>
      <c r="E99" s="28"/>
      <c r="F99" s="28"/>
      <c r="G99" s="28"/>
      <c r="H99" s="28"/>
      <c r="I99" s="28"/>
      <c r="J99" s="28"/>
      <c r="K99" s="28"/>
      <c r="L99" s="28"/>
      <c r="M99" s="28"/>
      <c r="N99" s="28"/>
      <c r="O99" s="28"/>
      <c r="P99" s="28"/>
      <c r="Q99" s="28"/>
      <c r="R99" s="28"/>
      <c r="S99" s="28"/>
    </row>
    <row r="100" spans="2:19" ht="14.45" customHeight="1" x14ac:dyDescent="0.25">
      <c r="B100" s="11">
        <v>4</v>
      </c>
      <c r="C100" s="28" t="s">
        <v>117</v>
      </c>
      <c r="D100" s="28"/>
      <c r="E100" s="28"/>
      <c r="F100" s="28"/>
      <c r="G100" s="28"/>
      <c r="H100" s="28"/>
      <c r="I100" s="28"/>
      <c r="J100" s="28"/>
      <c r="K100" s="28"/>
      <c r="L100" s="28"/>
      <c r="M100" s="28"/>
      <c r="N100" s="28"/>
      <c r="O100" s="28"/>
      <c r="P100" s="28"/>
      <c r="Q100" s="28"/>
      <c r="R100" s="28"/>
      <c r="S100" s="28"/>
    </row>
    <row r="101" spans="2:19" ht="14.45" customHeight="1" x14ac:dyDescent="0.25">
      <c r="B101" s="11">
        <v>5</v>
      </c>
      <c r="C101" s="28" t="s">
        <v>66</v>
      </c>
      <c r="D101" s="28"/>
      <c r="E101" s="28"/>
      <c r="F101" s="28"/>
      <c r="G101" s="28"/>
      <c r="H101" s="28"/>
      <c r="I101" s="28"/>
      <c r="J101" s="28"/>
      <c r="K101" s="28"/>
      <c r="L101" s="28"/>
      <c r="M101" s="28"/>
      <c r="N101" s="28"/>
      <c r="O101" s="28"/>
      <c r="P101" s="28"/>
      <c r="Q101" s="28"/>
      <c r="R101" s="28"/>
      <c r="S101" s="28"/>
    </row>
    <row r="102" spans="2:19" ht="14.45" customHeight="1" x14ac:dyDescent="0.25">
      <c r="B102" s="11">
        <v>6</v>
      </c>
      <c r="C102" s="28" t="s">
        <v>67</v>
      </c>
      <c r="D102" s="28"/>
      <c r="E102" s="28"/>
      <c r="F102" s="28"/>
      <c r="G102" s="28"/>
      <c r="H102" s="28"/>
      <c r="I102" s="28"/>
      <c r="J102" s="28"/>
      <c r="K102" s="28"/>
      <c r="L102" s="28"/>
      <c r="M102" s="28"/>
      <c r="N102" s="28"/>
      <c r="O102" s="28"/>
      <c r="P102" s="28"/>
      <c r="Q102" s="28"/>
      <c r="R102" s="28"/>
      <c r="S102" s="28"/>
    </row>
    <row r="103" spans="2:19" ht="14.45" customHeight="1" x14ac:dyDescent="0.25">
      <c r="B103" s="11">
        <v>7</v>
      </c>
      <c r="C103" s="28" t="s">
        <v>68</v>
      </c>
      <c r="D103" s="28"/>
      <c r="E103" s="28"/>
      <c r="F103" s="28"/>
      <c r="G103" s="28"/>
      <c r="H103" s="28"/>
      <c r="I103" s="28"/>
      <c r="J103" s="28"/>
      <c r="K103" s="28"/>
      <c r="L103" s="28"/>
      <c r="M103" s="28"/>
      <c r="N103" s="28"/>
      <c r="O103" s="28"/>
      <c r="P103" s="28"/>
      <c r="Q103" s="28"/>
      <c r="R103" s="28"/>
      <c r="S103" s="28"/>
    </row>
    <row r="104" spans="2:19" ht="14.45" customHeight="1" x14ac:dyDescent="0.25">
      <c r="B104" s="11">
        <v>8</v>
      </c>
      <c r="C104" s="28" t="s">
        <v>69</v>
      </c>
      <c r="D104" s="28"/>
      <c r="E104" s="28"/>
      <c r="F104" s="28"/>
      <c r="G104" s="28"/>
      <c r="H104" s="28"/>
      <c r="I104" s="28"/>
      <c r="J104" s="28"/>
      <c r="K104" s="28"/>
      <c r="L104" s="28"/>
      <c r="M104" s="28"/>
      <c r="N104" s="28"/>
      <c r="O104" s="28"/>
      <c r="P104" s="28"/>
      <c r="Q104" s="28"/>
      <c r="R104" s="28"/>
      <c r="S104" s="28"/>
    </row>
    <row r="105" spans="2:19" ht="14.45" customHeight="1" x14ac:dyDescent="0.25">
      <c r="B105" s="11">
        <v>9</v>
      </c>
      <c r="C105" s="28" t="s">
        <v>70</v>
      </c>
      <c r="D105" s="28"/>
      <c r="E105" s="28"/>
      <c r="F105" s="28"/>
      <c r="G105" s="28"/>
      <c r="H105" s="28"/>
      <c r="I105" s="28"/>
      <c r="J105" s="28"/>
      <c r="K105" s="28"/>
      <c r="L105" s="28"/>
      <c r="M105" s="28"/>
      <c r="N105" s="28"/>
      <c r="O105" s="28"/>
      <c r="P105" s="28"/>
      <c r="Q105" s="28"/>
      <c r="R105" s="28"/>
      <c r="S105" s="28"/>
    </row>
    <row r="106" spans="2:19" ht="14.45" customHeight="1" x14ac:dyDescent="0.25">
      <c r="B106" s="11">
        <v>10</v>
      </c>
      <c r="C106" s="28" t="s">
        <v>71</v>
      </c>
      <c r="D106" s="28"/>
      <c r="E106" s="28"/>
      <c r="F106" s="28"/>
      <c r="G106" s="28"/>
      <c r="H106" s="28"/>
      <c r="I106" s="28"/>
      <c r="J106" s="28"/>
      <c r="K106" s="28"/>
      <c r="L106" s="28"/>
      <c r="M106" s="28"/>
      <c r="N106" s="28"/>
      <c r="O106" s="28"/>
      <c r="P106" s="28"/>
      <c r="Q106" s="28"/>
      <c r="R106" s="28"/>
      <c r="S106" s="28"/>
    </row>
    <row r="107" spans="2:19" ht="14.45" customHeight="1" x14ac:dyDescent="0.25">
      <c r="B107" s="11">
        <v>11</v>
      </c>
      <c r="C107" s="28" t="s">
        <v>72</v>
      </c>
      <c r="D107" s="28"/>
      <c r="E107" s="28"/>
      <c r="F107" s="28"/>
      <c r="G107" s="28"/>
      <c r="H107" s="28"/>
      <c r="I107" s="28"/>
      <c r="J107" s="28"/>
      <c r="K107" s="28"/>
      <c r="L107" s="28"/>
      <c r="M107" s="28"/>
      <c r="N107" s="28"/>
      <c r="O107" s="28"/>
      <c r="P107" s="28"/>
      <c r="Q107" s="28"/>
      <c r="R107" s="28"/>
      <c r="S107" s="28"/>
    </row>
    <row r="108" spans="2:19" ht="14.45" customHeight="1" x14ac:dyDescent="0.25">
      <c r="B108" s="11">
        <v>12</v>
      </c>
      <c r="C108" s="28" t="s">
        <v>73</v>
      </c>
      <c r="D108" s="28"/>
      <c r="E108" s="28"/>
      <c r="F108" s="28"/>
      <c r="G108" s="28"/>
      <c r="H108" s="28"/>
      <c r="I108" s="28"/>
      <c r="J108" s="28"/>
      <c r="K108" s="28"/>
      <c r="L108" s="28"/>
      <c r="M108" s="28"/>
      <c r="N108" s="28"/>
      <c r="O108" s="28"/>
      <c r="P108" s="28"/>
      <c r="Q108" s="28"/>
      <c r="R108" s="28"/>
      <c r="S108" s="28"/>
    </row>
    <row r="109" spans="2:19" ht="14.45" customHeight="1" x14ac:dyDescent="0.25">
      <c r="B109" s="11">
        <v>13</v>
      </c>
      <c r="C109" s="28" t="s">
        <v>74</v>
      </c>
      <c r="D109" s="28"/>
      <c r="E109" s="28"/>
      <c r="F109" s="28"/>
      <c r="G109" s="28"/>
      <c r="H109" s="28"/>
      <c r="I109" s="28"/>
      <c r="J109" s="28"/>
      <c r="K109" s="28"/>
      <c r="L109" s="28"/>
      <c r="M109" s="28"/>
      <c r="N109" s="28"/>
      <c r="O109" s="28"/>
      <c r="P109" s="28"/>
      <c r="Q109" s="28"/>
      <c r="R109" s="28"/>
      <c r="S109" s="28"/>
    </row>
    <row r="110" spans="2:19" ht="14.45" customHeight="1" x14ac:dyDescent="0.25">
      <c r="B110" s="11">
        <v>14</v>
      </c>
      <c r="C110" s="28" t="s">
        <v>75</v>
      </c>
      <c r="D110" s="28"/>
      <c r="E110" s="28"/>
      <c r="F110" s="28"/>
      <c r="G110" s="28"/>
      <c r="H110" s="28"/>
      <c r="I110" s="28"/>
      <c r="J110" s="28"/>
      <c r="K110" s="28"/>
      <c r="L110" s="28"/>
      <c r="M110" s="28"/>
      <c r="N110" s="28"/>
      <c r="O110" s="28"/>
      <c r="P110" s="28"/>
      <c r="Q110" s="28"/>
      <c r="R110" s="28"/>
      <c r="S110" s="28"/>
    </row>
    <row r="111" spans="2:19" ht="14.45" customHeight="1" x14ac:dyDescent="0.25">
      <c r="B111" s="11">
        <v>15</v>
      </c>
      <c r="C111" s="28" t="s">
        <v>76</v>
      </c>
      <c r="D111" s="28"/>
      <c r="E111" s="28"/>
      <c r="F111" s="28"/>
      <c r="G111" s="28"/>
      <c r="H111" s="28"/>
      <c r="I111" s="28"/>
      <c r="J111" s="28"/>
      <c r="K111" s="28"/>
      <c r="L111" s="28"/>
      <c r="M111" s="28"/>
      <c r="N111" s="28"/>
      <c r="O111" s="28"/>
      <c r="P111" s="28"/>
      <c r="Q111" s="28"/>
      <c r="R111" s="28"/>
      <c r="S111" s="28"/>
    </row>
    <row r="112" spans="2:19" ht="14.45" customHeight="1" x14ac:dyDescent="0.25">
      <c r="B112" s="11">
        <v>16</v>
      </c>
      <c r="C112" s="28" t="s">
        <v>77</v>
      </c>
      <c r="D112" s="28"/>
      <c r="E112" s="28"/>
      <c r="F112" s="28"/>
      <c r="G112" s="28"/>
      <c r="H112" s="28"/>
      <c r="I112" s="28"/>
      <c r="J112" s="28"/>
      <c r="K112" s="28"/>
      <c r="L112" s="28"/>
      <c r="M112" s="28"/>
      <c r="N112" s="28"/>
      <c r="O112" s="28"/>
      <c r="P112" s="28"/>
      <c r="Q112" s="28"/>
      <c r="R112" s="28"/>
      <c r="S112" s="28"/>
    </row>
    <row r="113" spans="9:19" x14ac:dyDescent="0.25">
      <c r="I113" s="13"/>
      <c r="K113" s="13"/>
      <c r="M113" s="13"/>
      <c r="O113" s="13"/>
      <c r="Q113" s="13"/>
      <c r="S113" s="13"/>
    </row>
    <row r="114" spans="9:19" x14ac:dyDescent="0.25">
      <c r="I114" s="13"/>
      <c r="K114" s="13"/>
      <c r="M114" s="13"/>
      <c r="O114" s="13"/>
      <c r="Q114" s="13"/>
      <c r="S114" s="13"/>
    </row>
    <row r="115" spans="9:19" x14ac:dyDescent="0.25">
      <c r="I115" s="13"/>
      <c r="K115" s="13"/>
      <c r="M115" s="13"/>
      <c r="O115" s="13"/>
      <c r="Q115" s="13"/>
      <c r="S115" s="13"/>
    </row>
    <row r="116" spans="9:19" x14ac:dyDescent="0.25">
      <c r="I116" s="13"/>
      <c r="K116" s="13"/>
      <c r="M116" s="13"/>
      <c r="O116" s="13"/>
      <c r="Q116" s="13"/>
      <c r="S116" s="13"/>
    </row>
    <row r="117" spans="9:19" x14ac:dyDescent="0.25">
      <c r="I117" s="13"/>
      <c r="K117" s="13"/>
      <c r="M117" s="13"/>
      <c r="O117" s="13"/>
      <c r="Q117" s="13"/>
      <c r="S117" s="13"/>
    </row>
    <row r="118" spans="9:19" x14ac:dyDescent="0.25">
      <c r="I118" s="13"/>
      <c r="K118" s="13"/>
      <c r="M118" s="13"/>
      <c r="O118" s="13"/>
      <c r="Q118" s="13"/>
      <c r="S118" s="13"/>
    </row>
    <row r="119" spans="9:19" x14ac:dyDescent="0.25">
      <c r="I119" s="13"/>
      <c r="K119" s="13"/>
      <c r="M119" s="13"/>
      <c r="O119" s="13"/>
      <c r="Q119" s="13"/>
      <c r="S119" s="13"/>
    </row>
    <row r="120" spans="9:19" x14ac:dyDescent="0.25">
      <c r="I120" s="13"/>
      <c r="K120" s="13"/>
      <c r="M120" s="13"/>
      <c r="O120" s="13"/>
      <c r="Q120" s="13"/>
      <c r="S120" s="13"/>
    </row>
    <row r="121" spans="9:19" x14ac:dyDescent="0.25">
      <c r="I121" s="13"/>
      <c r="K121" s="13"/>
      <c r="M121" s="13"/>
      <c r="O121" s="13"/>
      <c r="Q121" s="13"/>
      <c r="S121" s="13"/>
    </row>
    <row r="122" spans="9:19" x14ac:dyDescent="0.25">
      <c r="I122" s="13"/>
      <c r="K122" s="13"/>
      <c r="M122" s="13"/>
      <c r="O122" s="13"/>
      <c r="Q122" s="13"/>
      <c r="S122" s="13"/>
    </row>
    <row r="123" spans="9:19" x14ac:dyDescent="0.25">
      <c r="I123" s="13"/>
      <c r="K123" s="13"/>
      <c r="M123" s="13"/>
      <c r="O123" s="13"/>
      <c r="Q123" s="13"/>
      <c r="S123" s="13"/>
    </row>
    <row r="124" spans="9:19" x14ac:dyDescent="0.25">
      <c r="I124" s="13"/>
      <c r="K124" s="13"/>
      <c r="M124" s="13"/>
      <c r="O124" s="13"/>
      <c r="Q124" s="13"/>
      <c r="S124" s="13"/>
    </row>
    <row r="125" spans="9:19" x14ac:dyDescent="0.25">
      <c r="I125" s="13"/>
      <c r="K125" s="13"/>
      <c r="M125" s="13"/>
      <c r="O125" s="13"/>
      <c r="Q125" s="13"/>
      <c r="S125" s="13"/>
    </row>
    <row r="126" spans="9:19" x14ac:dyDescent="0.25">
      <c r="I126" s="13"/>
      <c r="K126" s="13"/>
      <c r="M126" s="13"/>
      <c r="O126" s="13"/>
      <c r="Q126" s="13"/>
      <c r="S126" s="13"/>
    </row>
    <row r="127" spans="9:19" x14ac:dyDescent="0.25">
      <c r="I127" s="13"/>
      <c r="K127" s="13"/>
      <c r="M127" s="13"/>
      <c r="O127" s="13"/>
      <c r="Q127" s="13"/>
      <c r="S127" s="13"/>
    </row>
    <row r="128" spans="9:19" x14ac:dyDescent="0.25">
      <c r="I128" s="13"/>
      <c r="K128" s="13"/>
      <c r="M128" s="13"/>
      <c r="O128" s="13"/>
      <c r="Q128" s="13"/>
      <c r="S128" s="13"/>
    </row>
    <row r="129" spans="9:19" x14ac:dyDescent="0.25">
      <c r="I129" s="13"/>
      <c r="K129" s="13"/>
      <c r="M129" s="13"/>
      <c r="O129" s="13"/>
      <c r="Q129" s="13"/>
      <c r="S129" s="13"/>
    </row>
  </sheetData>
  <mergeCells count="35">
    <mergeCell ref="B96:S96"/>
    <mergeCell ref="C106:S106"/>
    <mergeCell ref="C107:S107"/>
    <mergeCell ref="C108:S108"/>
    <mergeCell ref="C109:S109"/>
    <mergeCell ref="C105:S105"/>
    <mergeCell ref="C97:S97"/>
    <mergeCell ref="C98:S98"/>
    <mergeCell ref="C99:S99"/>
    <mergeCell ref="C100:S100"/>
    <mergeCell ref="C101:S101"/>
    <mergeCell ref="C102:S102"/>
    <mergeCell ref="C103:S103"/>
    <mergeCell ref="C104:S104"/>
    <mergeCell ref="C111:S111"/>
    <mergeCell ref="C112:S112"/>
    <mergeCell ref="C110:S110"/>
    <mergeCell ref="B94:C94"/>
    <mergeCell ref="L4:M4"/>
    <mergeCell ref="N4:O4"/>
    <mergeCell ref="P4:Q4"/>
    <mergeCell ref="B7:C7"/>
    <mergeCell ref="B47:C47"/>
    <mergeCell ref="F2:G4"/>
    <mergeCell ref="L3:O3"/>
    <mergeCell ref="P3:S3"/>
    <mergeCell ref="H4:I4"/>
    <mergeCell ref="J4:K4"/>
    <mergeCell ref="R4:S4"/>
    <mergeCell ref="B2:B5"/>
    <mergeCell ref="C2:C5"/>
    <mergeCell ref="D2:E4"/>
    <mergeCell ref="H2:O2"/>
    <mergeCell ref="P2:S2"/>
    <mergeCell ref="H3:K3"/>
  </mergeCells>
  <pageMargins left="7.874015748031496E-2" right="3.937007874015748E-2" top="7.874015748031496E-2" bottom="3.937007874015748E-2" header="3.937007874015748E-2" footer="3.937007874015748E-2"/>
  <pageSetup scale="60"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PPI 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Kumar Singh</dc:creator>
  <cp:lastModifiedBy>RBIWebsite Support, Nitin</cp:lastModifiedBy>
  <cp:lastPrinted>2024-02-23T06:53:46Z</cp:lastPrinted>
  <dcterms:created xsi:type="dcterms:W3CDTF">2023-11-16T10:57:20Z</dcterms:created>
  <dcterms:modified xsi:type="dcterms:W3CDTF">2026-04-24T10:52:41Z</dcterms:modified>
</cp:coreProperties>
</file>